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detail_avancement" sheetId="3" r:id="rId7"/>
    <sheet state="visible" name="avancement" sheetId="4" r:id="rId8"/>
    <sheet state="visible" name="Recap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<sst xmlns="http://schemas.openxmlformats.org/spreadsheetml/2006/main" count="706" uniqueCount="279">
  <si>
    <t>ETU003275</t>
  </si>
  <si>
    <t>Manampy</t>
  </si>
  <si>
    <t>ETU003342</t>
  </si>
  <si>
    <t>Antonio</t>
  </si>
  <si>
    <t>ETU003344</t>
  </si>
  <si>
    <t>Eddou</t>
  </si>
  <si>
    <t>ETU003389</t>
  </si>
  <si>
    <t>Ewan</t>
  </si>
  <si>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</si>
  <si>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</si>
  <si>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</si>
  <si>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</si>
  <si>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</si>
  <si>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</si>
  <si>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</si>
  <si>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</si>
  <si>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</si>
  <si>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</si>
  <si>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</si>
  <si>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API - Auth</t>
  </si>
  <si>
    <t>Authentification</t>
  </si>
  <si>
    <t>Inscription</t>
  </si>
  <si>
    <t>Endpoint POST /auth/register</t>
  </si>
  <si>
    <t>Affichage</t>
  </si>
  <si>
    <t>Validation données entrée</t>
  </si>
  <si>
    <t>Métier</t>
  </si>
  <si>
    <t>Enregistrement Firebase/Postgres</t>
  </si>
  <si>
    <t>Intégration</t>
  </si>
  <si>
    <t>Connexion</t>
  </si>
  <si>
    <t>Endpoint POST /auth/login</t>
  </si>
  <si>
    <t>Vérification identifiants</t>
  </si>
  <si>
    <t>Génération token JWT/session</t>
  </si>
  <si>
    <t>API - User</t>
  </si>
  <si>
    <t>Gestion Utilisateurs</t>
  </si>
  <si>
    <t>Profil Utilisateur</t>
  </si>
  <si>
    <t>Endpoint GET /users/me</t>
  </si>
  <si>
    <t>Endpoint PUT /users/me</t>
  </si>
  <si>
    <t>Validation données mise à jour</t>
  </si>
  <si>
    <t>Synchronisation Firebase/Postgres</t>
  </si>
  <si>
    <t>Logique métier</t>
  </si>
  <si>
    <t>Gestion Connexion</t>
  </si>
  <si>
    <t>Gestion Réseau</t>
  </si>
  <si>
    <t>Détection statut réseau (online/offline)</t>
  </si>
  <si>
    <t>Stratégie bascule entre Firebase / Postgres</t>
  </si>
  <si>
    <t>Gestion Données</t>
  </si>
  <si>
    <t>Modèle Données</t>
  </si>
  <si>
    <t>Modèle User cohérent entre Firebase et Postgres</t>
  </si>
  <si>
    <t>Sécurité</t>
  </si>
  <si>
    <t>Sécurité Authentification</t>
  </si>
  <si>
    <t>Hachage Mots de Passe</t>
  </si>
  <si>
    <t>Hachage mot de passe (bcrypt/scrypt)</t>
  </si>
  <si>
    <t>Validation Données</t>
  </si>
  <si>
    <t>Validation email/force mot de passe</t>
  </si>
  <si>
    <t>Gestion Tokens</t>
  </si>
  <si>
    <t>Gestion tokens JWT (signature , expiration)</t>
  </si>
  <si>
    <t>Back-Office</t>
  </si>
  <si>
    <t>Gestion Rôles</t>
  </si>
  <si>
    <t>Gestion Permissions</t>
  </si>
  <si>
    <t>Gestion des rôles et permissions</t>
  </si>
  <si>
    <t>Gestion Journal</t>
  </si>
  <si>
    <t>Journalisation</t>
  </si>
  <si>
    <t>Journalisation des accès</t>
  </si>
  <si>
    <t>Fonction</t>
  </si>
  <si>
    <t>Sauvegarde Données</t>
  </si>
  <si>
    <t>Sauvegarde</t>
  </si>
  <si>
    <t>Sauvegarde des données cartographiques</t>
  </si>
  <si>
    <t>Validation</t>
  </si>
  <si>
    <t>Validation des données cartographiques</t>
  </si>
  <si>
    <t>Front-Office</t>
  </si>
  <si>
    <t>Carte Principale</t>
  </si>
  <si>
    <t>Affichage Carte</t>
  </si>
  <si>
    <t>Affichage de la carte d'Antananarivo</t>
  </si>
  <si>
    <t>Chargement Données</t>
  </si>
  <si>
    <t>Chargement des rues et routes</t>
  </si>
  <si>
    <t>Intégration Web</t>
  </si>
  <si>
    <t>Intégration de Maplibre (Web React)</t>
  </si>
  <si>
    <t>Intégration Mobile</t>
  </si>
  <si>
    <t>Intégration de Maplibre (Mobile Ionic Vue)</t>
  </si>
  <si>
    <t>Centrage Carte</t>
  </si>
  <si>
    <t>Centrage automatique sur Antananarivo</t>
  </si>
  <si>
    <t>Navigation Carte</t>
  </si>
  <si>
    <t>Zoom et déplacement sur la carte</t>
  </si>
  <si>
    <t>Support Tactile</t>
  </si>
  <si>
    <t>Support tactile (mobile)</t>
  </si>
  <si>
    <t>Noms de Rues</t>
  </si>
  <si>
    <t>Affichage des noms de rues</t>
  </si>
  <si>
    <t>Marqueurs Carte</t>
  </si>
  <si>
    <t>Ajout de marqueurs sur la carte</t>
  </si>
  <si>
    <t>Popups Information</t>
  </si>
  <si>
    <t>Affichage des popups d'information</t>
  </si>
  <si>
    <t>Localisation</t>
  </si>
  <si>
    <t>Localisation de l'utilisateur</t>
  </si>
  <si>
    <t>Mode Hors-ligne</t>
  </si>
  <si>
    <t>Mode hors connexion (offline)</t>
  </si>
  <si>
    <t>Recherche</t>
  </si>
  <si>
    <t>Recherche d'une rue ou d'un lieu</t>
  </si>
  <si>
    <t>Interface Utilisateur</t>
  </si>
  <si>
    <t>Responsive Design</t>
  </si>
  <si>
    <t>Interface responsive (web &amp; mobile)</t>
  </si>
  <si>
    <t>Mode Plein Écran</t>
  </si>
  <si>
    <t>Mode plein écran carte</t>
  </si>
  <si>
    <t>Gestion Erreurs</t>
  </si>
  <si>
    <t>Gestion des erreurs hors ligne</t>
  </si>
  <si>
    <t>Sessions Authentification</t>
  </si>
  <si>
    <t>Configuration Sessions</t>
  </si>
  <si>
    <t>Configuration durée de vie des sessions</t>
  </si>
  <si>
    <t>Expiration Sessions</t>
  </si>
  <si>
    <t>Gestion expiration automatique des sessions</t>
  </si>
  <si>
    <t>Stockage Sessions</t>
  </si>
  <si>
    <t>Stockage et validation des sessions</t>
  </si>
  <si>
    <t>Sécurité Tentatives</t>
  </si>
  <si>
    <t>Paramétrage Tentatives</t>
  </si>
  <si>
    <t>Paramétrage du nombre max de tentatives (défaut = 3)</t>
  </si>
  <si>
    <t>Comptage Tentatives</t>
  </si>
  <si>
    <t>Comptabilisation des tentatives de connexion</t>
  </si>
  <si>
    <t>Blocage Comptes</t>
  </si>
  <si>
    <t>Blocage du compte après dépassement des tentatives</t>
  </si>
  <si>
    <t>Persistance Blocage</t>
  </si>
  <si>
    <t>Persistance de l'état bloqué du compte</t>
  </si>
  <si>
    <t>API</t>
  </si>
  <si>
    <t>API Déblocage</t>
  </si>
  <si>
    <t>API Réinitialisation</t>
  </si>
  <si>
    <t>API REST de réinitialisation du blocage utilisateur</t>
  </si>
  <si>
    <t>Sécurisation API</t>
  </si>
  <si>
    <t>Sécurisation de l'API de déblocage</t>
  </si>
  <si>
    <t>Tests API</t>
  </si>
  <si>
    <t>Tests de l'API de réinitialisation</t>
  </si>
  <si>
    <t>Documentation API</t>
  </si>
  <si>
    <t>Documentation Auth</t>
  </si>
  <si>
    <t>Documentation des endpoints Auth</t>
  </si>
  <si>
    <t>Swagger</t>
  </si>
  <si>
    <t>Documentation Déblocage</t>
  </si>
  <si>
    <t>Documentation API de déblocage utilisateur</t>
  </si>
  <si>
    <t>Documentation Paramètres</t>
  </si>
  <si>
    <t>Documentation paramètres (sessions ,tentatives)</t>
  </si>
  <si>
    <t>Frontoffice</t>
  </si>
  <si>
    <t>Carte Problèmes</t>
  </si>
  <si>
    <t>Affichage carte</t>
  </si>
  <si>
    <t>Chargement Marqueurs</t>
  </si>
  <si>
    <t>Chargement des marqueurs</t>
  </si>
  <si>
    <t>Popup informations</t>
  </si>
  <si>
    <t>Légende Carte</t>
  </si>
  <si>
    <t>Légende de la carte</t>
  </si>
  <si>
    <t>Filtres Problèmes</t>
  </si>
  <si>
    <t>Filtre par type de problème</t>
  </si>
  <si>
    <t>Récupération Données</t>
  </si>
  <si>
    <t>Récupération des données</t>
  </si>
  <si>
    <t>Types Problèmes</t>
  </si>
  <si>
    <t>Gestion des types de problèmes</t>
  </si>
  <si>
    <t>Statuts Problèmes</t>
  </si>
  <si>
    <t>Gestion du statut (actif/résolu)</t>
  </si>
  <si>
    <t>Formatage Données</t>
  </si>
  <si>
    <t>Formatage des données géographiques</t>
  </si>
  <si>
    <t>API Problèmes</t>
  </si>
  <si>
    <t>Appel API problèmes routiers</t>
  </si>
  <si>
    <t>Intégration Carte</t>
  </si>
  <si>
    <t>Intégration API carte (Maplibre / Map)</t>
  </si>
  <si>
    <t>Synchronisation Carte</t>
  </si>
  <si>
    <t>Synchronisation carte vers données</t>
  </si>
  <si>
    <t>Gestion Erreurs API</t>
  </si>
  <si>
    <t>Gestion des erreurs API</t>
  </si>
  <si>
    <t>Info-bulles</t>
  </si>
  <si>
    <t>Info-bulle au survol du point</t>
  </si>
  <si>
    <t>Dates Problèmes</t>
  </si>
  <si>
    <t>Affichage date du problème</t>
  </si>
  <si>
    <t>Statuts Affichage</t>
  </si>
  <si>
    <t>Affichage statut (nouveau / en cours / terminé)</t>
  </si>
  <si>
    <t>Surfaces Affichage</t>
  </si>
  <si>
    <t>Affichage surface (m²)</t>
  </si>
  <si>
    <t>Budgets Affichage</t>
  </si>
  <si>
    <t>Affichage budget</t>
  </si>
  <si>
    <t>Entreprises Affichage</t>
  </si>
  <si>
    <t>Affichage entreprise concernée</t>
  </si>
  <si>
    <t>Tableau Synthèse</t>
  </si>
  <si>
    <t>Affichage tableau de synthèse</t>
  </si>
  <si>
    <t>Mise à Jour Tableau</t>
  </si>
  <si>
    <t>Mise à jour dynamique du tableau</t>
  </si>
  <si>
    <t>Calcul Points</t>
  </si>
  <si>
    <t>Calcul du nombre total de points</t>
  </si>
  <si>
    <t>Calcul Surfaces</t>
  </si>
  <si>
    <t>Calcul surface totale (m²)</t>
  </si>
  <si>
    <t>Calcul Budgets</t>
  </si>
  <si>
    <t>Calcul budget total</t>
  </si>
  <si>
    <t>Calcul Avancement</t>
  </si>
  <si>
    <t>Calcul avancement (%)</t>
  </si>
  <si>
    <t>Gestion Statuts</t>
  </si>
  <si>
    <t>Gestion du statut du problème</t>
  </si>
  <si>
    <t>Agrégation Données</t>
  </si>
  <si>
    <t>Agrégation des données</t>
  </si>
  <si>
    <t>Survol Points</t>
  </si>
  <si>
    <t>Intégration hover (survol) des points</t>
  </si>
  <si>
    <t>Détails Problèmes</t>
  </si>
  <si>
    <t>Appel API détails problème</t>
  </si>
  <si>
    <t>Calculs Backend</t>
  </si>
  <si>
    <t>Intégration calculs backend</t>
  </si>
  <si>
    <t>API Récapitulatif</t>
  </si>
  <si>
    <t>Appel API récapitulatif</t>
  </si>
  <si>
    <t>Synchronisation Tableau</t>
  </si>
  <si>
    <t>Synchronisation entre carte et tableau</t>
  </si>
  <si>
    <t>Interface Manager</t>
  </si>
  <si>
    <t>Affichage de l'interface Manager</t>
  </si>
  <si>
    <t>Bouton Synchronisation</t>
  </si>
  <si>
    <t>Bouton de synchronisation des données</t>
  </si>
  <si>
    <t>Synchronisation Données</t>
  </si>
  <si>
    <t>Récupération Signalements</t>
  </si>
  <si>
    <t>Récupération des signalements en ligne (Firebase)</t>
  </si>
  <si>
    <t>Envoi Données</t>
  </si>
  <si>
    <t>Envoi des données vers Firebase</t>
  </si>
  <si>
    <t>Synchronisation Mobile</t>
  </si>
  <si>
    <t>Synchronisation des données pour affichage mobile</t>
  </si>
  <si>
    <t>Gestion Signalements</t>
  </si>
  <si>
    <t>Liste Signalements</t>
  </si>
  <si>
    <t>Affichage de la liste des signalements</t>
  </si>
  <si>
    <t>Détail Signalement</t>
  </si>
  <si>
    <t>Consultation du détail d'un signalement</t>
  </si>
  <si>
    <t>Gestion Signalement</t>
  </si>
  <si>
    <t>Gestion des informations d'un signalement</t>
  </si>
  <si>
    <t>Saisie Surface</t>
  </si>
  <si>
    <t>Saisie de la surface concernée (m²)</t>
  </si>
  <si>
    <t>Saisie Budget</t>
  </si>
  <si>
    <t>Saisie du budget estimé</t>
  </si>
  <si>
    <t>Association Entreprise</t>
  </si>
  <si>
    <t>Association d'une entreprise concernée</t>
  </si>
  <si>
    <t>Modification Statut</t>
  </si>
  <si>
    <t>Modification du statut d'un signalement</t>
  </si>
  <si>
    <t>Historique Modifications</t>
  </si>
  <si>
    <t>Historique des changements de statut</t>
  </si>
  <si>
    <t>Utilisateurs Bloqués</t>
  </si>
  <si>
    <t>Affichage des utilisateurs bloqués</t>
  </si>
  <si>
    <t>Déblocage Utilisateurs</t>
  </si>
  <si>
    <t>Déblocage des utilisateurs</t>
  </si>
  <si>
    <t>Synchronisation Statuts</t>
  </si>
  <si>
    <t>Synchronisation des statuts utilisateurs</t>
  </si>
  <si>
    <t>Validation Synchronisation</t>
  </si>
  <si>
    <t>Validation des données avant synchronisation</t>
  </si>
  <si>
    <t>Mobile</t>
  </si>
  <si>
    <t>Authentification Mobile</t>
  </si>
  <si>
    <t>Login Mobile</t>
  </si>
  <si>
    <t>Authentification Firebase (login en ligne)</t>
  </si>
  <si>
    <t>Session Mobile</t>
  </si>
  <si>
    <t>Gestion session utilisateur mobile</t>
  </si>
  <si>
    <t>Erreurs Connexion</t>
  </si>
  <si>
    <t>Gestion erreurs de connexion Firebase</t>
  </si>
  <si>
    <t>Carte Mobile</t>
  </si>
  <si>
    <t>Carte OSM</t>
  </si>
  <si>
    <t>Affichage carte OpenStreetMap</t>
  </si>
  <si>
    <t>Intégration Maplibre</t>
  </si>
  <si>
    <t>Intégration Maplibre (map interactive)</t>
  </si>
  <si>
    <t>Géolocalisation</t>
  </si>
  <si>
    <t>Géolocalisation utilisateur</t>
  </si>
  <si>
    <t>Signalement Mobile</t>
  </si>
  <si>
    <t>Ajout Signalement</t>
  </si>
  <si>
    <t>Ajout signalement routier depuis la carte</t>
  </si>
  <si>
    <t>Envoi Signalement</t>
  </si>
  <si>
    <t>Envoi des signalements vers le backend</t>
  </si>
  <si>
    <t>Localisation Mobile</t>
  </si>
  <si>
    <t>Récapitulatif Signalements</t>
  </si>
  <si>
    <t>Affichage récapitulatif des signalements</t>
  </si>
  <si>
    <t>Récupération des signalements (visiteurs &amp; utilisateurs)</t>
  </si>
  <si>
    <t>Filtre Mes Signalements</t>
  </si>
  <si>
    <t>Filtre : afficher mes signalements uniquement</t>
  </si>
  <si>
    <t>Rafraîchissement Carte</t>
  </si>
  <si>
    <t>Rafraîchissement dynamique de la carte</t>
  </si>
  <si>
    <t>Permissions GPS</t>
  </si>
  <si>
    <t>Gestion permissions GPS (mobile)</t>
  </si>
  <si>
    <t>Total</t>
  </si>
  <si>
    <t>26/1</t>
  </si>
  <si>
    <t>27/1</t>
  </si>
  <si>
    <t>28/1</t>
  </si>
  <si>
    <t>estimation total</t>
  </si>
  <si>
    <t>temps passé total</t>
  </si>
  <si>
    <t>reste à faire total</t>
  </si>
  <si>
    <t>avancement</t>
  </si>
  <si>
    <t>dépassement</t>
  </si>
  <si>
    <t>heure</t>
  </si>
  <si>
    <t>SUM de Estimation</t>
  </si>
  <si>
    <t>SUM de Temps passé</t>
  </si>
  <si>
    <t>SUM de Reste à faire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</si>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</sst>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  <scheme val="minor"/>
    </font>
    <font>
      <b/>
      <sz val="12.0"/>
      <color theme="1"/>
      <name val="Aptos Narrow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FFE599"/>
        <bgColor rgb="FFFFE5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6" numFmtId="0" xfId="0" applyAlignment="1" applyBorder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0" xfId="0" applyFont="1"/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8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iste des ta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_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000" sheet="liste des taches"/>
  </cacheSource>
  <cacheFields>
    <cacheField name="Catégorie" numFmtId="0">
      <sharedItems containsBlank="1">
        <s v="API - Auth"/>
        <s v="API - User"/>
        <s v="Logique métier"/>
        <s v="Sécurité"/>
        <s v="Back-Office"/>
        <s v="Front-Office"/>
        <s v="API"/>
        <s v="Frontoffice"/>
        <s v="Mobile"/>
        <m/>
      </sharedItems>
    </cacheField>
    <cacheField name="Module" numFmtId="0">
      <sharedItems containsBlank="1">
        <s v="Authentification"/>
        <s v="Gestion Utilisateurs"/>
        <s v="Gestion Connexion"/>
        <s v="Gestion Données"/>
        <s v="Sécurité Authentification"/>
        <s v="Gestion Rôles"/>
        <s v="Gestion Journal"/>
        <s v="Sauvegarde Données"/>
        <s v="Validation Données"/>
        <s v="Carte Principale"/>
        <s v="Interface Utilisateur"/>
        <s v="Sessions Authentification"/>
        <s v="Sécurité Tentatives"/>
        <s v="API Déblocage"/>
        <s v="Documentation API"/>
        <s v="Carte Problèmes"/>
        <s v="Tableau Synthèse"/>
        <s v="Interface Manager"/>
        <s v="Synchronisation Données"/>
        <s v="Gestion Signalements"/>
        <s v="Authentification Mobile"/>
        <s v="Session Mobile"/>
        <s v="Carte Mobile"/>
        <s v="Signalement Mobile"/>
        <s v="Localisation Mobile"/>
        <m/>
      </sharedItems>
    </cacheField>
    <cacheField name="Page" numFmtId="0">
      <sharedItems containsBlank="1">
        <s v="Inscription"/>
        <s v="Connexion"/>
        <s v="Profil Utilisateur"/>
        <s v="Gestion Réseau"/>
        <s v="Modèle Données"/>
        <s v="Hachage Mots de Passe"/>
        <s v="Validation Données"/>
        <s v="Gestion Tokens"/>
        <s v="Gestion Permissions"/>
        <s v="Journalisation"/>
        <s v="Sauvegarde"/>
        <s v="Validation"/>
        <s v="Affichage Carte"/>
        <s v="Chargement Données"/>
        <s v="Intégration Web"/>
        <s v="Intégration Mobile"/>
        <s v="Centrage Carte"/>
        <s v="Navigation Carte"/>
        <s v="Support Tactile"/>
        <s v="Noms de Rues"/>
        <s v="Marqueurs Carte"/>
        <s v="Popups Information"/>
        <s v="Localisation"/>
        <s v="Mode Hors-ligne"/>
        <s v="Recherche"/>
        <s v="Responsive Design"/>
        <s v="Mode Plein Écran"/>
        <s v="Gestion Erreurs"/>
        <s v="Configuration Sessions"/>
        <s v="Expiration Sessions"/>
        <s v="Stockage Sessions"/>
        <s v="Paramétrage Tentatives"/>
        <s v="Comptage Tentatives"/>
        <s v="Blocage Comptes"/>
        <s v="Persistance Blocage"/>
        <s v="API Réinitialisation"/>
        <s v="Sécurisation API"/>
        <s v="Tests API"/>
        <s v="Documentation Auth"/>
        <s v="Documentation Déblocage"/>
        <s v="Documentation Paramètres"/>
        <s v="Chargement Marqueurs"/>
        <s v="Légende Carte"/>
        <s v="Filtres Problèmes"/>
        <s v="Récupération Données"/>
        <s v="Types Problèmes"/>
        <s v="Statuts Problèmes"/>
        <s v="Formatage Données"/>
        <s v="API Problèmes"/>
        <s v="Intégration Carte"/>
        <s v="Synchronisation Carte"/>
        <s v="Gestion Erreurs API"/>
        <s v="Info-bulles"/>
        <s v="Dates Problèmes"/>
        <s v="Statuts Affichage"/>
        <s v="Surfaces Affichage"/>
        <s v="Budgets Affichage"/>
        <s v="Entreprises Affichage"/>
        <s v="Tableau Synthèse"/>
        <s v="Mise à Jour Tableau"/>
        <s v="Calcul Points"/>
        <s v="Calcul Surfaces"/>
        <s v="Calcul Budgets"/>
        <s v="Calcul Avancement"/>
        <s v="Gestion Statuts"/>
        <s v="Agrégation Données"/>
        <s v="Survol Points"/>
        <s v="Détails Problèmes"/>
        <s v="Calculs Backend"/>
        <s v="API Récapitulatif"/>
        <s v="Synchronisation Tableau"/>
        <s v="Interface Manager"/>
        <s v="Bouton Synchronisation"/>
        <s v="Récupération Signalements"/>
        <s v="Envoi Données"/>
        <s v="Synchronisation Mobile"/>
        <s v="Liste Signalements"/>
        <s v="Détail Signalement"/>
        <s v="Gestion Signalement"/>
        <s v="Saisie Surface"/>
        <s v="Saisie Budget"/>
        <s v="Association Entreprise"/>
        <s v="Modification Statut"/>
        <s v="Historique Modifications"/>
        <s v="Utilisateurs Bloqués"/>
        <s v="Déblocage Utilisateurs"/>
        <s v="Synchronisation Statuts"/>
        <s v="Validation Synchronisation"/>
        <s v="Login Mobile"/>
        <s v="Session Mobile"/>
        <s v="Erreurs Connexion"/>
        <s v="Carte OSM"/>
        <s v="Intégration Maplibre"/>
        <s v="Géolocalisation"/>
        <s v="Ajout Signalement"/>
        <s v="Envoi Signalement"/>
        <s v="Récapitulatif Signalements"/>
        <s v="Filtre Mes Signalements"/>
        <s v="Rafraîchissement Carte"/>
        <s v="Permissions GPS"/>
        <m/>
      </sharedItems>
    </cacheField>
    <cacheField name="Taches" numFmtId="0">
      <sharedItems containsBlank="1">
        <s v="Endpoint POST /auth/register"/>
        <s v="Validation données entrée"/>
        <s v="Enregistrement Firebase/Postgres"/>
        <s v="Endpoint POST /auth/login"/>
        <s v="Vérification identifiants"/>
        <s v="Génération token JWT/session"/>
        <s v="Endpoint GET /users/me"/>
        <s v="Endpoint PUT /users/me"/>
        <s v="Validation données mise à jour"/>
        <s v="Synchronisation Firebase/Postgres"/>
        <s v="Détection statut réseau (online/offline)"/>
        <s v="Stratégie bascule entre Firebase / Postgres"/>
        <s v="Modèle User cohérent entre Firebase et Postgres"/>
        <s v="Hachage mot de passe (bcrypt/scrypt)"/>
        <s v="Validation email/force mot de passe"/>
        <s v="Gestion tokens JWT (signature , expiration)"/>
        <s v="Gestion des rôles et permissions"/>
        <s v="Journalisation des accès"/>
        <s v="Sauvegarde des données cartographiques"/>
        <s v="Validation des données cartographiques"/>
        <s v="Affichage de la carte d'Antananarivo"/>
        <s v="Chargement des rues et routes"/>
        <s v="Intégration de Maplibre (Web React)"/>
        <s v="Intégration de Maplibre (Mobile Ionic Vue)"/>
        <s v="Centrage automatique sur Antananarivo"/>
        <s v="Zoom et déplacement sur la carte"/>
        <s v="Support tactile (mobile)"/>
        <s v="Affichage des noms de rues"/>
        <s v="Ajout de marqueurs sur la carte"/>
        <s v="Affichage des popups d'information"/>
        <s v="Localisation de l'utilisateur"/>
        <s v="Mode hors connexion (offline)"/>
        <s v="Recherche d'une rue ou d'un lieu"/>
        <s v="Interface responsive (web &amp; mobile)"/>
        <s v="Mode plein écran carte"/>
        <s v="Gestion des erreurs hors ligne"/>
        <s v="Configuration durée de vie des sessions"/>
        <s v="Gestion expiration automatique des sessions"/>
        <s v="Stockage et validation des sessions"/>
        <s v="Paramétrage du nombre max de tentatives (défaut = 3)"/>
        <s v="Comptabilisation des tentatives de connexion"/>
        <s v="Blocage du compte après dépassement des tentatives"/>
        <s v="Persistance de l'état bloqué du compte"/>
        <s v="API REST de réinitialisation du blocage utilisateur"/>
        <s v="Sécurisation de l'API de déblocage"/>
        <s v="Tests de l'API de réinitialisation"/>
        <s v="Documentation des endpoints Auth"/>
        <s v="Documentation API de déblocage utilisateur"/>
        <s v="Documentation paramètres (sessions ,tentatives)"/>
        <s v="Affichage carte"/>
        <s v="Chargement des marqueurs"/>
        <s v="Popup informations"/>
        <s v="Légende de la carte"/>
        <s v="Filtre par type de problème"/>
        <s v="Récupération des données"/>
        <s v="Gestion des types de problèmes"/>
        <s v="Gestion du statut (actif/résolu)"/>
        <s v="Formatage des données géographiques"/>
        <s v="Appel API problèmes routiers"/>
        <s v="Intégration API carte (Maplibre / Map)"/>
        <s v="Synchronisation carte vers données"/>
        <s v="Gestion des erreurs API"/>
        <s v="Info-bulle au survol du point"/>
        <s v="Affichage date du problème"/>
        <s v="Affichage statut (nouveau / en cours / terminé)"/>
        <s v="Affichage surface (m²)"/>
        <s v="Affichage budget"/>
        <s v="Affichage entreprise concernée"/>
        <s v="Affichage tableau de synthèse"/>
        <s v="Mise à jour dynamique du tableau"/>
        <s v="Calcul du nombre total de points"/>
        <s v="Calcul surface totale (m²)"/>
        <s v="Calcul budget total"/>
        <s v="Calcul avancement (%)"/>
        <s v="Gestion du statut du problème"/>
        <s v="Agrégation des données"/>
        <s v="Intégration hover (survol) des points"/>
        <s v="Appel API détails problème"/>
        <s v="Intégration calculs backend"/>
        <s v="Appel API récapitulatif"/>
        <s v="Synchronisation entre carte et tableau"/>
        <s v="Affichage de l'interface Manager"/>
        <s v="Bouton de synchronisation des données"/>
        <s v="Récupération des signalements en ligne (Firebase)"/>
        <s v="Envoi des données vers Firebase"/>
        <s v="Synchronisation des données pour affichage mobile"/>
        <s v="Affichage de la liste des signalements"/>
        <s v="Consultation du détail d'un signalement"/>
        <s v="Gestion des informations d'un signalement"/>
        <s v="Saisie de la surface concernée (m²)"/>
        <s v="Saisie du budget estimé"/>
        <s v="Association d'une entreprise concernée"/>
        <s v="Modification du statut d'un signalement"/>
        <s v="Historique des changements de statut"/>
        <s v="Affichage des utilisateurs bloqués"/>
        <s v="Déblocage des utilisateurs"/>
        <s v="Synchronisation des statuts utilisateurs"/>
        <s v="Validation des données avant synchronisation"/>
        <s v="Authentification Firebase (login en ligne)"/>
        <s v="Gestion session utilisateur mobile"/>
        <s v="Gestion erreurs de connexion Firebase"/>
        <s v="Affichage carte OpenStreetMap"/>
        <s v="Intégration Maplibre (map interactive)"/>
        <s v="Géolocalisation utilisateur"/>
        <s v="Ajout signalement routier depuis la carte"/>
        <s v="Envoi des signalements vers le backend"/>
        <s v="Affichage récapitulatif des signalements"/>
        <s v="Récupération des signalements (visiteurs &amp; utilisateurs)"/>
        <s v="Filtre : afficher mes signalements uniquement"/>
        <s v="Rafraîchissement dynamique de la carte"/>
        <s v="Gestion permissions GPS (mobile)"/>
        <m/>
      </sharedItems>
    </cacheField>
    <cacheField name="Type" numFmtId="0">
      <sharedItems containsBlank="1">
        <s v="Affichage"/>
        <s v="Métier"/>
        <s v="Intégration"/>
        <s v="Fonction"/>
        <s v="Sécurité"/>
        <s v="Swagger"/>
        <m/>
      </sharedItems>
    </cacheField>
    <cacheField name="Qui" numFmtId="0">
      <sharedItems containsBlank="1">
        <s v="ETU003275"/>
        <s v="ETU003342"/>
        <s v="ETU003344"/>
        <s v="ETU003389"/>
        <m/>
      </sharedItems>
    </cacheField>
    <cacheField name="Estimation" numFmtId="0">
      <sharedItems containsString="0" containsBlank="1" containsNumber="1" containsInteger="1">
        <n v="30.0"/>
        <n v="40.0"/>
        <n v="25.0"/>
        <n v="35.0"/>
        <n v="45.0"/>
        <n v="20.0"/>
        <m/>
      </sharedItems>
    </cacheField>
    <cacheField name="Temps passé" numFmtId="0">
      <sharedItems containsString="0" containsBlank="1" containsNumber="1" containsInteger="1">
        <n v="30.0"/>
        <n v="40.0"/>
        <n v="25.0"/>
        <n v="35.0"/>
        <n v="0.0"/>
        <n v="20.0"/>
        <m/>
      </sharedItems>
    </cacheField>
    <cacheField name="Reste à faire" numFmtId="0">
      <sharedItems containsString="0" containsBlank="1" containsNumber="1" containsInteger="1">
        <n v="0.0"/>
        <n v="25.0"/>
        <n v="30.0"/>
        <n v="45.0"/>
        <n v="20.0"/>
        <n v="40.0"/>
        <m/>
      </sharedItems>
    </cacheField>
    <cacheField name="Avancement" numFmtId="0">
      <sharedItems containsString="0" containsBlank="1" containsNumber="1" containsInteger="1">
        <n v="1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égor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i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vancement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ables/table1.xml><?xml version="1.0" encoding="utf-8"?>
<table xmlns="http://schemas.openxmlformats.org/spreadsheetml/2006/main" ref="A1:K112" displayName="Tableau2" name="Tableau2" id="1">
  <tableColumns count="11">
    <tableColumn name="Ligne" id="1"/>
    <tableColumn name="Catégorie" id="2"/>
    <tableColumn name="Module" id="3"/>
    <tableColumn name="Page" id="4"/>
    <tableColumn name="Taches" id="5"/>
    <tableColumn name="Type" id="6"/>
    <tableColumn name="Qui" id="7"/>
    <tableColumn name="Estimation" id="8"/>
    <tableColumn name="Temps passé" id="9"/>
    <tableColumn name="Reste à faire" id="10"/>
    <tableColumn name="Avancement" id="11"/>
  </tableColumns>
  <tableStyleInfo name="liste des taches-style" showColumnStripes="0" showFirstColumn="1" showLastColumn="1" showRowStripes="1"/>
</table>
</file>

<file path=xl/tables/table2.xml><?xml version="1.0" encoding="utf-8"?>
<table xmlns="http://schemas.openxmlformats.org/spreadsheetml/2006/main" ref="A1:E112" displayName="Tableau1" name="Tableau1" id="2">
  <tableColumns count="5">
    <tableColumn name="Ligne" id="1"/>
    <tableColumn name="Total" id="2"/>
    <tableColumn name="26/1" id="3"/>
    <tableColumn name="27/1" id="4"/>
    <tableColumn name="28/1" id="5"/>
  </tableColumns>
  <tableStyleInfo name="detail_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7.0"/>
    <col customWidth="1" min="3" max="3" width="21.5"/>
    <col customWidth="1" min="4" max="4" width="22.88"/>
    <col customWidth="1" min="5" max="5" width="42.25"/>
    <col customWidth="1" min="6" max="6" width="13.75"/>
    <col customWidth="1" min="7" max="7" width="14.88"/>
    <col customWidth="1" min="8" max="8" width="16.63"/>
    <col customWidth="1" min="9" max="9" width="18.63"/>
    <col customWidth="1" min="10" max="10" width="15.0"/>
    <col customWidth="1" min="11" max="11" width="14.75"/>
  </cols>
  <sheetData>
    <row r="1" ht="22.5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3"/>
    </row>
    <row r="2" ht="22.5" customHeight="1">
      <c r="A2" s="4">
        <v>1.0</v>
      </c>
      <c r="B2" s="5" t="s">
        <v>19</v>
      </c>
      <c r="C2" s="6" t="s">
        <v>20</v>
      </c>
      <c r="D2" s="6" t="s">
        <v>21</v>
      </c>
      <c r="E2" s="7" t="s">
        <v>22</v>
      </c>
      <c r="F2" s="5" t="s">
        <v>23</v>
      </c>
      <c r="G2" s="5" t="s">
        <v>0</v>
      </c>
      <c r="H2" s="8">
        <v>30.0</v>
      </c>
      <c r="I2" s="9">
        <f>detail_avancement!B2</f>
        <v>30</v>
      </c>
      <c r="J2" s="9">
        <f t="shared" ref="J2:J112" si="1">H2-I2</f>
        <v>0</v>
      </c>
      <c r="K2" s="10">
        <f t="shared" ref="K2:K112" si="2">(I2/(I2+J2))</f>
        <v>1</v>
      </c>
      <c r="L2" s="3"/>
    </row>
    <row r="3" ht="22.5" customHeight="1">
      <c r="A3" s="4">
        <v>2.0</v>
      </c>
      <c r="B3" s="5" t="s">
        <v>19</v>
      </c>
      <c r="C3" s="6" t="s">
        <v>20</v>
      </c>
      <c r="D3" s="6" t="s">
        <v>21</v>
      </c>
      <c r="E3" s="7" t="s">
        <v>24</v>
      </c>
      <c r="F3" s="5" t="s">
        <v>25</v>
      </c>
      <c r="G3" s="5" t="s">
        <v>2</v>
      </c>
      <c r="H3" s="8">
        <v>30.0</v>
      </c>
      <c r="I3" s="9">
        <f>detail_avancement!B3</f>
        <v>30</v>
      </c>
      <c r="J3" s="9">
        <f t="shared" si="1"/>
        <v>0</v>
      </c>
      <c r="K3" s="10">
        <f t="shared" si="2"/>
        <v>1</v>
      </c>
      <c r="L3" s="3"/>
    </row>
    <row r="4" ht="22.5" customHeight="1">
      <c r="A4" s="4">
        <v>3.0</v>
      </c>
      <c r="B4" s="5" t="s">
        <v>19</v>
      </c>
      <c r="C4" s="6" t="s">
        <v>20</v>
      </c>
      <c r="D4" s="6" t="s">
        <v>21</v>
      </c>
      <c r="E4" s="7" t="s">
        <v>26</v>
      </c>
      <c r="F4" s="5" t="s">
        <v>27</v>
      </c>
      <c r="G4" s="5" t="s">
        <v>4</v>
      </c>
      <c r="H4" s="8">
        <v>40.0</v>
      </c>
      <c r="I4" s="9">
        <f>detail_avancement!B4</f>
        <v>40</v>
      </c>
      <c r="J4" s="9">
        <f t="shared" si="1"/>
        <v>0</v>
      </c>
      <c r="K4" s="10">
        <f t="shared" si="2"/>
        <v>1</v>
      </c>
      <c r="L4" s="3"/>
    </row>
    <row r="5" ht="22.5" customHeight="1">
      <c r="A5" s="4">
        <v>4.0</v>
      </c>
      <c r="B5" s="5" t="s">
        <v>19</v>
      </c>
      <c r="C5" s="6" t="s">
        <v>20</v>
      </c>
      <c r="D5" s="6" t="s">
        <v>28</v>
      </c>
      <c r="E5" s="7" t="s">
        <v>29</v>
      </c>
      <c r="F5" s="5" t="s">
        <v>23</v>
      </c>
      <c r="G5" s="5" t="s">
        <v>6</v>
      </c>
      <c r="H5" s="8">
        <v>30.0</v>
      </c>
      <c r="I5" s="9">
        <f>detail_avancement!B5</f>
        <v>30</v>
      </c>
      <c r="J5" s="9">
        <f t="shared" si="1"/>
        <v>0</v>
      </c>
      <c r="K5" s="10">
        <f t="shared" si="2"/>
        <v>1</v>
      </c>
      <c r="L5" s="3"/>
    </row>
    <row r="6" ht="22.5" customHeight="1">
      <c r="A6" s="4">
        <v>5.0</v>
      </c>
      <c r="B6" s="5" t="s">
        <v>19</v>
      </c>
      <c r="C6" s="6" t="s">
        <v>20</v>
      </c>
      <c r="D6" s="6" t="s">
        <v>28</v>
      </c>
      <c r="E6" s="7" t="s">
        <v>30</v>
      </c>
      <c r="F6" s="5" t="s">
        <v>25</v>
      </c>
      <c r="G6" s="5" t="s">
        <v>0</v>
      </c>
      <c r="H6" s="8">
        <v>30.0</v>
      </c>
      <c r="I6" s="9">
        <f>detail_avancement!B6</f>
        <v>30</v>
      </c>
      <c r="J6" s="9">
        <f t="shared" si="1"/>
        <v>0</v>
      </c>
      <c r="K6" s="10">
        <f t="shared" si="2"/>
        <v>1</v>
      </c>
      <c r="L6" s="3"/>
    </row>
    <row r="7" ht="22.5" customHeight="1">
      <c r="A7" s="4">
        <v>6.0</v>
      </c>
      <c r="B7" s="5" t="s">
        <v>19</v>
      </c>
      <c r="C7" s="6" t="s">
        <v>20</v>
      </c>
      <c r="D7" s="6" t="s">
        <v>28</v>
      </c>
      <c r="E7" s="7" t="s">
        <v>31</v>
      </c>
      <c r="F7" s="5" t="s">
        <v>27</v>
      </c>
      <c r="G7" s="5" t="s">
        <v>2</v>
      </c>
      <c r="H7" s="8">
        <v>40.0</v>
      </c>
      <c r="I7" s="9">
        <f>detail_avancement!B7</f>
        <v>40</v>
      </c>
      <c r="J7" s="9">
        <f t="shared" si="1"/>
        <v>0</v>
      </c>
      <c r="K7" s="10">
        <f t="shared" si="2"/>
        <v>1</v>
      </c>
      <c r="L7" s="3"/>
    </row>
    <row r="8" ht="22.5" customHeight="1">
      <c r="A8" s="4">
        <v>7.0</v>
      </c>
      <c r="B8" s="5" t="s">
        <v>32</v>
      </c>
      <c r="C8" s="6" t="s">
        <v>33</v>
      </c>
      <c r="D8" s="6" t="s">
        <v>34</v>
      </c>
      <c r="E8" s="7" t="s">
        <v>35</v>
      </c>
      <c r="F8" s="5" t="s">
        <v>23</v>
      </c>
      <c r="G8" s="5" t="s">
        <v>4</v>
      </c>
      <c r="H8" s="8">
        <v>30.0</v>
      </c>
      <c r="I8" s="9">
        <f>detail_avancement!B8</f>
        <v>30</v>
      </c>
      <c r="J8" s="9">
        <f t="shared" si="1"/>
        <v>0</v>
      </c>
      <c r="K8" s="10">
        <f t="shared" si="2"/>
        <v>1</v>
      </c>
      <c r="L8" s="3"/>
    </row>
    <row r="9" ht="22.5" customHeight="1">
      <c r="A9" s="4">
        <v>8.0</v>
      </c>
      <c r="B9" s="5" t="s">
        <v>32</v>
      </c>
      <c r="C9" s="6" t="s">
        <v>33</v>
      </c>
      <c r="D9" s="6" t="s">
        <v>34</v>
      </c>
      <c r="E9" s="7" t="s">
        <v>36</v>
      </c>
      <c r="F9" s="5" t="s">
        <v>23</v>
      </c>
      <c r="G9" s="5" t="s">
        <v>6</v>
      </c>
      <c r="H9" s="8">
        <v>30.0</v>
      </c>
      <c r="I9" s="9">
        <f>detail_avancement!B9</f>
        <v>30</v>
      </c>
      <c r="J9" s="9">
        <f t="shared" si="1"/>
        <v>0</v>
      </c>
      <c r="K9" s="10">
        <f t="shared" si="2"/>
        <v>1</v>
      </c>
      <c r="L9" s="3"/>
    </row>
    <row r="10" ht="22.5" customHeight="1">
      <c r="A10" s="4">
        <v>9.0</v>
      </c>
      <c r="B10" s="5" t="s">
        <v>32</v>
      </c>
      <c r="C10" s="6" t="s">
        <v>33</v>
      </c>
      <c r="D10" s="6" t="s">
        <v>34</v>
      </c>
      <c r="E10" s="7" t="s">
        <v>37</v>
      </c>
      <c r="F10" s="5" t="s">
        <v>25</v>
      </c>
      <c r="G10" s="5" t="s">
        <v>0</v>
      </c>
      <c r="H10" s="8">
        <v>30.0</v>
      </c>
      <c r="I10" s="9">
        <f>detail_avancement!B10</f>
        <v>30</v>
      </c>
      <c r="J10" s="9">
        <f t="shared" si="1"/>
        <v>0</v>
      </c>
      <c r="K10" s="10">
        <f t="shared" si="2"/>
        <v>1</v>
      </c>
      <c r="L10" s="3"/>
    </row>
    <row r="11" ht="22.5" customHeight="1">
      <c r="A11" s="4">
        <v>10.0</v>
      </c>
      <c r="B11" s="5" t="s">
        <v>32</v>
      </c>
      <c r="C11" s="6" t="s">
        <v>33</v>
      </c>
      <c r="D11" s="6" t="s">
        <v>34</v>
      </c>
      <c r="E11" s="7" t="s">
        <v>38</v>
      </c>
      <c r="F11" s="5" t="s">
        <v>27</v>
      </c>
      <c r="G11" s="5" t="s">
        <v>2</v>
      </c>
      <c r="H11" s="8">
        <v>40.0</v>
      </c>
      <c r="I11" s="9">
        <f>detail_avancement!B11</f>
        <v>40</v>
      </c>
      <c r="J11" s="9">
        <f t="shared" si="1"/>
        <v>0</v>
      </c>
      <c r="K11" s="10">
        <f t="shared" si="2"/>
        <v>1</v>
      </c>
      <c r="L11" s="3"/>
    </row>
    <row r="12" ht="22.5" customHeight="1">
      <c r="A12" s="4">
        <v>11.0</v>
      </c>
      <c r="B12" s="5" t="s">
        <v>39</v>
      </c>
      <c r="C12" s="6" t="s">
        <v>40</v>
      </c>
      <c r="D12" s="6" t="s">
        <v>41</v>
      </c>
      <c r="E12" s="7" t="s">
        <v>42</v>
      </c>
      <c r="F12" s="5" t="s">
        <v>25</v>
      </c>
      <c r="G12" s="5" t="s">
        <v>4</v>
      </c>
      <c r="H12" s="8">
        <v>30.0</v>
      </c>
      <c r="I12" s="9">
        <f>detail_avancement!B12</f>
        <v>30</v>
      </c>
      <c r="J12" s="9">
        <f t="shared" si="1"/>
        <v>0</v>
      </c>
      <c r="K12" s="10">
        <f t="shared" si="2"/>
        <v>1</v>
      </c>
      <c r="L12" s="3"/>
    </row>
    <row r="13" ht="22.5" customHeight="1">
      <c r="A13" s="4">
        <v>12.0</v>
      </c>
      <c r="B13" s="5" t="s">
        <v>39</v>
      </c>
      <c r="C13" s="6" t="s">
        <v>40</v>
      </c>
      <c r="D13" s="6" t="s">
        <v>41</v>
      </c>
      <c r="E13" s="7" t="s">
        <v>43</v>
      </c>
      <c r="F13" s="5" t="s">
        <v>25</v>
      </c>
      <c r="G13" s="5" t="s">
        <v>6</v>
      </c>
      <c r="H13" s="8">
        <v>30.0</v>
      </c>
      <c r="I13" s="9">
        <f>detail_avancement!B13</f>
        <v>30</v>
      </c>
      <c r="J13" s="9">
        <f t="shared" si="1"/>
        <v>0</v>
      </c>
      <c r="K13" s="10">
        <f t="shared" si="2"/>
        <v>1</v>
      </c>
      <c r="L13" s="3"/>
    </row>
    <row r="14" ht="22.5" customHeight="1">
      <c r="A14" s="4">
        <v>13.0</v>
      </c>
      <c r="B14" s="5" t="s">
        <v>39</v>
      </c>
      <c r="C14" s="6" t="s">
        <v>44</v>
      </c>
      <c r="D14" s="6" t="s">
        <v>45</v>
      </c>
      <c r="E14" s="7" t="s">
        <v>46</v>
      </c>
      <c r="F14" s="5" t="s">
        <v>25</v>
      </c>
      <c r="G14" s="5" t="s">
        <v>0</v>
      </c>
      <c r="H14" s="8">
        <v>30.0</v>
      </c>
      <c r="I14" s="9">
        <f>detail_avancement!B14</f>
        <v>30</v>
      </c>
      <c r="J14" s="9">
        <f t="shared" si="1"/>
        <v>0</v>
      </c>
      <c r="K14" s="10">
        <f t="shared" si="2"/>
        <v>1</v>
      </c>
      <c r="L14" s="3"/>
    </row>
    <row r="15" ht="22.5" customHeight="1">
      <c r="A15" s="4">
        <v>14.0</v>
      </c>
      <c r="B15" s="5" t="s">
        <v>47</v>
      </c>
      <c r="C15" s="6" t="s">
        <v>48</v>
      </c>
      <c r="D15" s="6" t="s">
        <v>49</v>
      </c>
      <c r="E15" s="7" t="s">
        <v>50</v>
      </c>
      <c r="F15" s="5" t="s">
        <v>25</v>
      </c>
      <c r="G15" s="5" t="s">
        <v>2</v>
      </c>
      <c r="H15" s="8">
        <v>25.0</v>
      </c>
      <c r="I15" s="9">
        <f>detail_avancement!B15</f>
        <v>25</v>
      </c>
      <c r="J15" s="9">
        <f t="shared" si="1"/>
        <v>0</v>
      </c>
      <c r="K15" s="10">
        <f t="shared" si="2"/>
        <v>1</v>
      </c>
      <c r="L15" s="3"/>
    </row>
    <row r="16" ht="22.5" customHeight="1">
      <c r="A16" s="4">
        <v>15.0</v>
      </c>
      <c r="B16" s="5" t="s">
        <v>47</v>
      </c>
      <c r="C16" s="6" t="s">
        <v>48</v>
      </c>
      <c r="D16" s="6" t="s">
        <v>51</v>
      </c>
      <c r="E16" s="7" t="s">
        <v>52</v>
      </c>
      <c r="F16" s="5" t="s">
        <v>25</v>
      </c>
      <c r="G16" s="5" t="s">
        <v>4</v>
      </c>
      <c r="H16" s="8">
        <v>25.0</v>
      </c>
      <c r="I16" s="9">
        <f>detail_avancement!B16</f>
        <v>25</v>
      </c>
      <c r="J16" s="9">
        <f t="shared" si="1"/>
        <v>0</v>
      </c>
      <c r="K16" s="10">
        <f t="shared" si="2"/>
        <v>1</v>
      </c>
      <c r="L16" s="3"/>
    </row>
    <row r="17" ht="22.5" customHeight="1">
      <c r="A17" s="4">
        <v>16.0</v>
      </c>
      <c r="B17" s="5" t="s">
        <v>47</v>
      </c>
      <c r="C17" s="6" t="s">
        <v>48</v>
      </c>
      <c r="D17" s="6" t="s">
        <v>53</v>
      </c>
      <c r="E17" s="11" t="s">
        <v>54</v>
      </c>
      <c r="F17" s="5" t="s">
        <v>27</v>
      </c>
      <c r="G17" s="5" t="s">
        <v>6</v>
      </c>
      <c r="H17" s="8">
        <v>40.0</v>
      </c>
      <c r="I17" s="9">
        <f>detail_avancement!B17</f>
        <v>40</v>
      </c>
      <c r="J17" s="9">
        <f t="shared" si="1"/>
        <v>0</v>
      </c>
      <c r="K17" s="10">
        <f t="shared" si="2"/>
        <v>1</v>
      </c>
    </row>
    <row r="18" ht="22.5" customHeight="1">
      <c r="A18" s="4">
        <v>17.0</v>
      </c>
      <c r="B18" s="5" t="s">
        <v>55</v>
      </c>
      <c r="C18" s="6" t="s">
        <v>56</v>
      </c>
      <c r="D18" s="6" t="s">
        <v>57</v>
      </c>
      <c r="E18" s="7" t="s">
        <v>58</v>
      </c>
      <c r="F18" s="5" t="s">
        <v>25</v>
      </c>
      <c r="G18" s="5" t="s">
        <v>0</v>
      </c>
      <c r="H18" s="8">
        <v>35.0</v>
      </c>
      <c r="I18" s="9">
        <f>detail_avancement!B18</f>
        <v>35</v>
      </c>
      <c r="J18" s="9">
        <f t="shared" si="1"/>
        <v>0</v>
      </c>
      <c r="K18" s="10">
        <f t="shared" si="2"/>
        <v>1</v>
      </c>
      <c r="L18" s="3"/>
    </row>
    <row r="19" ht="22.5" customHeight="1">
      <c r="A19" s="4">
        <v>18.0</v>
      </c>
      <c r="B19" s="5" t="s">
        <v>55</v>
      </c>
      <c r="C19" s="6" t="s">
        <v>59</v>
      </c>
      <c r="D19" s="6" t="s">
        <v>60</v>
      </c>
      <c r="E19" s="7" t="s">
        <v>61</v>
      </c>
      <c r="F19" s="5" t="s">
        <v>62</v>
      </c>
      <c r="G19" s="5" t="s">
        <v>2</v>
      </c>
      <c r="H19" s="8">
        <v>25.0</v>
      </c>
      <c r="I19" s="9">
        <f>detail_avancement!B19</f>
        <v>0</v>
      </c>
      <c r="J19" s="9">
        <f t="shared" si="1"/>
        <v>25</v>
      </c>
      <c r="K19" s="10">
        <f t="shared" si="2"/>
        <v>0</v>
      </c>
      <c r="L19" s="3"/>
    </row>
    <row r="20" ht="22.5" customHeight="1">
      <c r="A20" s="4">
        <v>19.0</v>
      </c>
      <c r="B20" s="5" t="s">
        <v>55</v>
      </c>
      <c r="C20" s="6" t="s">
        <v>63</v>
      </c>
      <c r="D20" s="6" t="s">
        <v>64</v>
      </c>
      <c r="E20" s="7" t="s">
        <v>65</v>
      </c>
      <c r="F20" s="5" t="s">
        <v>62</v>
      </c>
      <c r="G20" s="5" t="s">
        <v>4</v>
      </c>
      <c r="H20" s="8">
        <v>25.0</v>
      </c>
      <c r="I20" s="9">
        <f>detail_avancement!B20</f>
        <v>0</v>
      </c>
      <c r="J20" s="9">
        <f t="shared" si="1"/>
        <v>25</v>
      </c>
      <c r="K20" s="10">
        <f t="shared" si="2"/>
        <v>0</v>
      </c>
      <c r="L20" s="3"/>
    </row>
    <row r="21" ht="22.5" customHeight="1">
      <c r="A21" s="4">
        <v>20.0</v>
      </c>
      <c r="B21" s="5" t="s">
        <v>55</v>
      </c>
      <c r="C21" s="6" t="s">
        <v>51</v>
      </c>
      <c r="D21" s="6" t="s">
        <v>66</v>
      </c>
      <c r="E21" s="7" t="s">
        <v>67</v>
      </c>
      <c r="F21" s="5" t="s">
        <v>25</v>
      </c>
      <c r="G21" s="5" t="s">
        <v>4</v>
      </c>
      <c r="H21" s="8">
        <v>30.0</v>
      </c>
      <c r="I21" s="9">
        <f>detail_avancement!B21</f>
        <v>0</v>
      </c>
      <c r="J21" s="9">
        <f t="shared" si="1"/>
        <v>30</v>
      </c>
      <c r="K21" s="10">
        <f t="shared" si="2"/>
        <v>0</v>
      </c>
      <c r="L21" s="3"/>
    </row>
    <row r="22" ht="22.5" customHeight="1">
      <c r="A22" s="4">
        <v>21.0</v>
      </c>
      <c r="B22" s="5" t="s">
        <v>68</v>
      </c>
      <c r="C22" s="6" t="s">
        <v>69</v>
      </c>
      <c r="D22" s="6" t="s">
        <v>70</v>
      </c>
      <c r="E22" s="7" t="s">
        <v>71</v>
      </c>
      <c r="F22" s="5" t="s">
        <v>23</v>
      </c>
      <c r="G22" s="5" t="s">
        <v>6</v>
      </c>
      <c r="H22" s="8">
        <v>30.0</v>
      </c>
      <c r="I22" s="9">
        <f>detail_avancement!B22</f>
        <v>30</v>
      </c>
      <c r="J22" s="9">
        <f t="shared" si="1"/>
        <v>0</v>
      </c>
      <c r="K22" s="10">
        <f t="shared" si="2"/>
        <v>1</v>
      </c>
      <c r="L22" s="3"/>
    </row>
    <row r="23" ht="22.5" customHeight="1">
      <c r="A23" s="4">
        <v>22.0</v>
      </c>
      <c r="B23" s="5" t="s">
        <v>68</v>
      </c>
      <c r="C23" s="6" t="s">
        <v>69</v>
      </c>
      <c r="D23" s="6" t="s">
        <v>72</v>
      </c>
      <c r="E23" s="7" t="s">
        <v>73</v>
      </c>
      <c r="F23" s="5" t="s">
        <v>23</v>
      </c>
      <c r="G23" s="5" t="s">
        <v>2</v>
      </c>
      <c r="H23" s="8">
        <v>30.0</v>
      </c>
      <c r="I23" s="9">
        <f>detail_avancement!B23</f>
        <v>30</v>
      </c>
      <c r="J23" s="9">
        <f t="shared" si="1"/>
        <v>0</v>
      </c>
      <c r="K23" s="10">
        <f t="shared" si="2"/>
        <v>1</v>
      </c>
      <c r="L23" s="3"/>
    </row>
    <row r="24" ht="22.5" customHeight="1">
      <c r="A24" s="4">
        <v>23.0</v>
      </c>
      <c r="B24" s="5" t="s">
        <v>68</v>
      </c>
      <c r="C24" s="6" t="s">
        <v>69</v>
      </c>
      <c r="D24" s="6" t="s">
        <v>74</v>
      </c>
      <c r="E24" s="6" t="s">
        <v>75</v>
      </c>
      <c r="F24" s="5" t="s">
        <v>27</v>
      </c>
      <c r="G24" s="5" t="s">
        <v>4</v>
      </c>
      <c r="H24" s="8">
        <v>45.0</v>
      </c>
      <c r="I24" s="9">
        <f>detail_avancement!B24</f>
        <v>0</v>
      </c>
      <c r="J24" s="9">
        <f t="shared" si="1"/>
        <v>45</v>
      </c>
      <c r="K24" s="10">
        <f t="shared" si="2"/>
        <v>0</v>
      </c>
      <c r="L24" s="3"/>
    </row>
    <row r="25" ht="22.5" customHeight="1">
      <c r="A25" s="4">
        <v>24.0</v>
      </c>
      <c r="B25" s="5" t="s">
        <v>68</v>
      </c>
      <c r="C25" s="6" t="s">
        <v>69</v>
      </c>
      <c r="D25" s="6" t="s">
        <v>76</v>
      </c>
      <c r="E25" s="6" t="s">
        <v>77</v>
      </c>
      <c r="F25" s="5" t="s">
        <v>27</v>
      </c>
      <c r="G25" s="5" t="s">
        <v>6</v>
      </c>
      <c r="H25" s="8">
        <v>45.0</v>
      </c>
      <c r="I25" s="9">
        <f>detail_avancement!B25</f>
        <v>0</v>
      </c>
      <c r="J25" s="9">
        <f t="shared" si="1"/>
        <v>45</v>
      </c>
      <c r="K25" s="10">
        <f t="shared" si="2"/>
        <v>0</v>
      </c>
      <c r="L25" s="3"/>
    </row>
    <row r="26" ht="22.5" customHeight="1">
      <c r="A26" s="4">
        <v>25.0</v>
      </c>
      <c r="B26" s="5" t="s">
        <v>68</v>
      </c>
      <c r="C26" s="6" t="s">
        <v>69</v>
      </c>
      <c r="D26" s="6" t="s">
        <v>78</v>
      </c>
      <c r="E26" s="7" t="s">
        <v>79</v>
      </c>
      <c r="F26" s="5" t="s">
        <v>62</v>
      </c>
      <c r="G26" s="5" t="s">
        <v>0</v>
      </c>
      <c r="H26" s="8">
        <v>25.0</v>
      </c>
      <c r="I26" s="9">
        <f>detail_avancement!B26</f>
        <v>25</v>
      </c>
      <c r="J26" s="9">
        <f t="shared" si="1"/>
        <v>0</v>
      </c>
      <c r="K26" s="10">
        <f t="shared" si="2"/>
        <v>1</v>
      </c>
      <c r="L26" s="3"/>
    </row>
    <row r="27" ht="22.5" customHeight="1">
      <c r="A27" s="4">
        <v>26.0</v>
      </c>
      <c r="B27" s="5" t="s">
        <v>68</v>
      </c>
      <c r="C27" s="6" t="s">
        <v>69</v>
      </c>
      <c r="D27" s="6" t="s">
        <v>80</v>
      </c>
      <c r="E27" s="7" t="s">
        <v>81</v>
      </c>
      <c r="F27" s="5" t="s">
        <v>62</v>
      </c>
      <c r="G27" s="5" t="s">
        <v>2</v>
      </c>
      <c r="H27" s="8">
        <v>25.0</v>
      </c>
      <c r="I27" s="9">
        <f>detail_avancement!B27</f>
        <v>25</v>
      </c>
      <c r="J27" s="9">
        <f t="shared" si="1"/>
        <v>0</v>
      </c>
      <c r="K27" s="10">
        <f t="shared" si="2"/>
        <v>1</v>
      </c>
      <c r="L27" s="3"/>
    </row>
    <row r="28" ht="22.5" customHeight="1">
      <c r="A28" s="4">
        <v>27.0</v>
      </c>
      <c r="B28" s="5" t="s">
        <v>68</v>
      </c>
      <c r="C28" s="6" t="s">
        <v>69</v>
      </c>
      <c r="D28" s="6" t="s">
        <v>82</v>
      </c>
      <c r="E28" s="7" t="s">
        <v>83</v>
      </c>
      <c r="F28" s="5" t="s">
        <v>62</v>
      </c>
      <c r="G28" s="5" t="s">
        <v>4</v>
      </c>
      <c r="H28" s="8">
        <v>25.0</v>
      </c>
      <c r="I28" s="9">
        <f>detail_avancement!B28</f>
        <v>0</v>
      </c>
      <c r="J28" s="9">
        <f t="shared" si="1"/>
        <v>25</v>
      </c>
      <c r="K28" s="10">
        <f t="shared" si="2"/>
        <v>0</v>
      </c>
      <c r="L28" s="3"/>
    </row>
    <row r="29" ht="22.5" customHeight="1">
      <c r="A29" s="4">
        <v>28.0</v>
      </c>
      <c r="B29" s="5" t="s">
        <v>68</v>
      </c>
      <c r="C29" s="6" t="s">
        <v>69</v>
      </c>
      <c r="D29" s="6" t="s">
        <v>84</v>
      </c>
      <c r="E29" s="7" t="s">
        <v>85</v>
      </c>
      <c r="F29" s="5" t="s">
        <v>23</v>
      </c>
      <c r="G29" s="5" t="s">
        <v>6</v>
      </c>
      <c r="H29" s="8">
        <v>30.0</v>
      </c>
      <c r="I29" s="9">
        <f>detail_avancement!B29</f>
        <v>30</v>
      </c>
      <c r="J29" s="9">
        <f t="shared" si="1"/>
        <v>0</v>
      </c>
      <c r="K29" s="10">
        <f t="shared" si="2"/>
        <v>1</v>
      </c>
      <c r="L29" s="3"/>
    </row>
    <row r="30" ht="22.5" customHeight="1">
      <c r="A30" s="4">
        <v>29.0</v>
      </c>
      <c r="B30" s="5" t="s">
        <v>68</v>
      </c>
      <c r="C30" s="6" t="s">
        <v>69</v>
      </c>
      <c r="D30" s="6" t="s">
        <v>86</v>
      </c>
      <c r="E30" s="7" t="s">
        <v>87</v>
      </c>
      <c r="F30" s="5" t="s">
        <v>62</v>
      </c>
      <c r="G30" s="5" t="s">
        <v>0</v>
      </c>
      <c r="H30" s="8">
        <v>25.0</v>
      </c>
      <c r="I30" s="9">
        <f>detail_avancement!B30</f>
        <v>0</v>
      </c>
      <c r="J30" s="9">
        <f t="shared" si="1"/>
        <v>25</v>
      </c>
      <c r="K30" s="10">
        <f t="shared" si="2"/>
        <v>0</v>
      </c>
      <c r="L30" s="3"/>
    </row>
    <row r="31" ht="22.5" customHeight="1">
      <c r="A31" s="4">
        <v>30.0</v>
      </c>
      <c r="B31" s="5" t="s">
        <v>68</v>
      </c>
      <c r="C31" s="6" t="s">
        <v>69</v>
      </c>
      <c r="D31" s="6" t="s">
        <v>88</v>
      </c>
      <c r="E31" s="7" t="s">
        <v>89</v>
      </c>
      <c r="F31" s="5" t="s">
        <v>23</v>
      </c>
      <c r="G31" s="5" t="s">
        <v>6</v>
      </c>
      <c r="H31" s="8">
        <v>25.0</v>
      </c>
      <c r="I31" s="9">
        <f>detail_avancement!B31</f>
        <v>0</v>
      </c>
      <c r="J31" s="9">
        <f t="shared" si="1"/>
        <v>25</v>
      </c>
      <c r="K31" s="10">
        <f t="shared" si="2"/>
        <v>0</v>
      </c>
      <c r="L31" s="3"/>
    </row>
    <row r="32" ht="22.5" customHeight="1">
      <c r="A32" s="4">
        <v>31.0</v>
      </c>
      <c r="B32" s="5" t="s">
        <v>68</v>
      </c>
      <c r="C32" s="6" t="s">
        <v>69</v>
      </c>
      <c r="D32" s="6" t="s">
        <v>90</v>
      </c>
      <c r="E32" s="7" t="s">
        <v>91</v>
      </c>
      <c r="F32" s="5" t="s">
        <v>62</v>
      </c>
      <c r="G32" s="5" t="s">
        <v>4</v>
      </c>
      <c r="H32" s="8">
        <v>25.0</v>
      </c>
      <c r="I32" s="9">
        <f>detail_avancement!B32</f>
        <v>0</v>
      </c>
      <c r="J32" s="9">
        <f t="shared" si="1"/>
        <v>25</v>
      </c>
      <c r="K32" s="10">
        <f t="shared" si="2"/>
        <v>0</v>
      </c>
      <c r="L32" s="3"/>
    </row>
    <row r="33" ht="22.5" customHeight="1">
      <c r="A33" s="4">
        <v>32.0</v>
      </c>
      <c r="B33" s="5" t="s">
        <v>68</v>
      </c>
      <c r="C33" s="6" t="s">
        <v>69</v>
      </c>
      <c r="D33" s="6" t="s">
        <v>92</v>
      </c>
      <c r="E33" s="7" t="s">
        <v>93</v>
      </c>
      <c r="F33" s="5" t="s">
        <v>62</v>
      </c>
      <c r="G33" s="5" t="s">
        <v>6</v>
      </c>
      <c r="H33" s="8">
        <v>25.0</v>
      </c>
      <c r="I33" s="9">
        <f>detail_avancement!B33</f>
        <v>25</v>
      </c>
      <c r="J33" s="9">
        <f t="shared" si="1"/>
        <v>0</v>
      </c>
      <c r="K33" s="10">
        <f t="shared" si="2"/>
        <v>1</v>
      </c>
      <c r="L33" s="3"/>
    </row>
    <row r="34" ht="22.5" customHeight="1">
      <c r="A34" s="4">
        <v>33.0</v>
      </c>
      <c r="B34" s="5" t="s">
        <v>68</v>
      </c>
      <c r="C34" s="6" t="s">
        <v>69</v>
      </c>
      <c r="D34" s="6" t="s">
        <v>94</v>
      </c>
      <c r="E34" s="7" t="s">
        <v>95</v>
      </c>
      <c r="F34" s="5" t="s">
        <v>62</v>
      </c>
      <c r="G34" s="5" t="s">
        <v>0</v>
      </c>
      <c r="H34" s="8">
        <v>30.0</v>
      </c>
      <c r="I34" s="9">
        <f>detail_avancement!B34</f>
        <v>0</v>
      </c>
      <c r="J34" s="9">
        <f t="shared" si="1"/>
        <v>30</v>
      </c>
      <c r="K34" s="10">
        <f t="shared" si="2"/>
        <v>0</v>
      </c>
      <c r="L34" s="3"/>
    </row>
    <row r="35" ht="22.5" customHeight="1">
      <c r="A35" s="4">
        <v>34.0</v>
      </c>
      <c r="B35" s="5" t="s">
        <v>68</v>
      </c>
      <c r="C35" s="6" t="s">
        <v>96</v>
      </c>
      <c r="D35" s="6" t="s">
        <v>97</v>
      </c>
      <c r="E35" s="7" t="s">
        <v>98</v>
      </c>
      <c r="F35" s="5" t="s">
        <v>23</v>
      </c>
      <c r="G35" s="5" t="s">
        <v>2</v>
      </c>
      <c r="H35" s="8">
        <v>30.0</v>
      </c>
      <c r="I35" s="9">
        <f>detail_avancement!B35</f>
        <v>0</v>
      </c>
      <c r="J35" s="9">
        <f t="shared" si="1"/>
        <v>30</v>
      </c>
      <c r="K35" s="10">
        <f t="shared" si="2"/>
        <v>0</v>
      </c>
      <c r="L35" s="3"/>
    </row>
    <row r="36" ht="22.5" customHeight="1">
      <c r="A36" s="4">
        <v>35.0</v>
      </c>
      <c r="B36" s="5" t="s">
        <v>68</v>
      </c>
      <c r="C36" s="6" t="s">
        <v>96</v>
      </c>
      <c r="D36" s="6" t="s">
        <v>99</v>
      </c>
      <c r="E36" s="7" t="s">
        <v>100</v>
      </c>
      <c r="F36" s="5" t="s">
        <v>62</v>
      </c>
      <c r="G36" s="5" t="s">
        <v>4</v>
      </c>
      <c r="H36" s="8">
        <v>25.0</v>
      </c>
      <c r="I36" s="9">
        <f>detail_avancement!B36</f>
        <v>0</v>
      </c>
      <c r="J36" s="9">
        <f t="shared" si="1"/>
        <v>25</v>
      </c>
      <c r="K36" s="10">
        <f t="shared" si="2"/>
        <v>0</v>
      </c>
      <c r="L36" s="3"/>
    </row>
    <row r="37" ht="22.5" customHeight="1">
      <c r="A37" s="4">
        <v>36.0</v>
      </c>
      <c r="B37" s="5" t="s">
        <v>68</v>
      </c>
      <c r="C37" s="6" t="s">
        <v>96</v>
      </c>
      <c r="D37" s="6" t="s">
        <v>101</v>
      </c>
      <c r="E37" s="7" t="s">
        <v>102</v>
      </c>
      <c r="F37" s="5" t="s">
        <v>62</v>
      </c>
      <c r="G37" s="5" t="s">
        <v>6</v>
      </c>
      <c r="H37" s="8">
        <v>25.0</v>
      </c>
      <c r="I37" s="9">
        <f>detail_avancement!B37</f>
        <v>0</v>
      </c>
      <c r="J37" s="9">
        <f t="shared" si="1"/>
        <v>25</v>
      </c>
      <c r="K37" s="10">
        <f t="shared" si="2"/>
        <v>0</v>
      </c>
      <c r="L37" s="3"/>
    </row>
    <row r="38" ht="22.5" customHeight="1">
      <c r="A38" s="4">
        <v>37.0</v>
      </c>
      <c r="B38" s="5" t="s">
        <v>47</v>
      </c>
      <c r="C38" s="6" t="s">
        <v>103</v>
      </c>
      <c r="D38" s="6" t="s">
        <v>104</v>
      </c>
      <c r="E38" s="7" t="s">
        <v>105</v>
      </c>
      <c r="F38" s="5" t="s">
        <v>25</v>
      </c>
      <c r="G38" s="5" t="s">
        <v>0</v>
      </c>
      <c r="H38" s="8">
        <v>25.0</v>
      </c>
      <c r="I38" s="9">
        <f>detail_avancement!B38</f>
        <v>25</v>
      </c>
      <c r="J38" s="9">
        <f t="shared" si="1"/>
        <v>0</v>
      </c>
      <c r="K38" s="10">
        <f t="shared" si="2"/>
        <v>1</v>
      </c>
      <c r="L38" s="3"/>
    </row>
    <row r="39" ht="22.5" customHeight="1">
      <c r="A39" s="4">
        <v>38.0</v>
      </c>
      <c r="B39" s="5" t="s">
        <v>47</v>
      </c>
      <c r="C39" s="6" t="s">
        <v>103</v>
      </c>
      <c r="D39" s="6" t="s">
        <v>106</v>
      </c>
      <c r="E39" s="7" t="s">
        <v>107</v>
      </c>
      <c r="F39" s="5" t="s">
        <v>25</v>
      </c>
      <c r="G39" s="5" t="s">
        <v>2</v>
      </c>
      <c r="H39" s="8">
        <v>30.0</v>
      </c>
      <c r="I39" s="9">
        <f>detail_avancement!B39</f>
        <v>30</v>
      </c>
      <c r="J39" s="9">
        <f t="shared" si="1"/>
        <v>0</v>
      </c>
      <c r="K39" s="10">
        <f t="shared" si="2"/>
        <v>1</v>
      </c>
      <c r="L39" s="3"/>
    </row>
    <row r="40" ht="22.5" customHeight="1">
      <c r="A40" s="4">
        <v>39.0</v>
      </c>
      <c r="B40" s="5" t="s">
        <v>47</v>
      </c>
      <c r="C40" s="6" t="s">
        <v>103</v>
      </c>
      <c r="D40" s="6" t="s">
        <v>108</v>
      </c>
      <c r="E40" s="7" t="s">
        <v>109</v>
      </c>
      <c r="F40" s="5" t="s">
        <v>27</v>
      </c>
      <c r="G40" s="5" t="s">
        <v>4</v>
      </c>
      <c r="H40" s="8">
        <v>25.0</v>
      </c>
      <c r="I40" s="9">
        <f>detail_avancement!B40</f>
        <v>25</v>
      </c>
      <c r="J40" s="9">
        <f t="shared" si="1"/>
        <v>0</v>
      </c>
      <c r="K40" s="10">
        <f t="shared" si="2"/>
        <v>1</v>
      </c>
      <c r="L40" s="3"/>
    </row>
    <row r="41" ht="22.5" customHeight="1">
      <c r="A41" s="4">
        <v>40.0</v>
      </c>
      <c r="B41" s="5" t="s">
        <v>47</v>
      </c>
      <c r="C41" s="6" t="s">
        <v>110</v>
      </c>
      <c r="D41" s="6" t="s">
        <v>111</v>
      </c>
      <c r="E41" s="7" t="s">
        <v>112</v>
      </c>
      <c r="F41" s="5" t="s">
        <v>25</v>
      </c>
      <c r="G41" s="5" t="s">
        <v>4</v>
      </c>
      <c r="H41" s="8">
        <v>30.0</v>
      </c>
      <c r="I41" s="9">
        <f>detail_avancement!B41</f>
        <v>0</v>
      </c>
      <c r="J41" s="9">
        <f t="shared" si="1"/>
        <v>30</v>
      </c>
      <c r="K41" s="10">
        <f t="shared" si="2"/>
        <v>0</v>
      </c>
      <c r="L41" s="3"/>
    </row>
    <row r="42" ht="22.5" customHeight="1">
      <c r="A42" s="4">
        <v>41.0</v>
      </c>
      <c r="B42" s="5" t="s">
        <v>47</v>
      </c>
      <c r="C42" s="6" t="s">
        <v>110</v>
      </c>
      <c r="D42" s="6" t="s">
        <v>113</v>
      </c>
      <c r="E42" s="7" t="s">
        <v>114</v>
      </c>
      <c r="F42" s="5" t="s">
        <v>25</v>
      </c>
      <c r="G42" s="5" t="s">
        <v>6</v>
      </c>
      <c r="H42" s="8">
        <v>20.0</v>
      </c>
      <c r="I42" s="9">
        <f>detail_avancement!B42</f>
        <v>0</v>
      </c>
      <c r="J42" s="9">
        <f t="shared" si="1"/>
        <v>20</v>
      </c>
      <c r="K42" s="10">
        <f t="shared" si="2"/>
        <v>0</v>
      </c>
      <c r="L42" s="3"/>
    </row>
    <row r="43" ht="22.5" customHeight="1">
      <c r="A43" s="4">
        <v>42.0</v>
      </c>
      <c r="B43" s="5" t="s">
        <v>47</v>
      </c>
      <c r="C43" s="6" t="s">
        <v>110</v>
      </c>
      <c r="D43" s="6" t="s">
        <v>115</v>
      </c>
      <c r="E43" s="7" t="s">
        <v>116</v>
      </c>
      <c r="F43" s="5" t="s">
        <v>25</v>
      </c>
      <c r="G43" s="5" t="s">
        <v>2</v>
      </c>
      <c r="H43" s="8">
        <v>30.0</v>
      </c>
      <c r="I43" s="9">
        <f>detail_avancement!B43</f>
        <v>0</v>
      </c>
      <c r="J43" s="9">
        <f t="shared" si="1"/>
        <v>30</v>
      </c>
      <c r="K43" s="10">
        <f t="shared" si="2"/>
        <v>0</v>
      </c>
      <c r="L43" s="3"/>
    </row>
    <row r="44" ht="22.5" customHeight="1">
      <c r="A44" s="4">
        <v>43.0</v>
      </c>
      <c r="B44" s="5" t="s">
        <v>47</v>
      </c>
      <c r="C44" s="6" t="s">
        <v>110</v>
      </c>
      <c r="D44" s="6" t="s">
        <v>117</v>
      </c>
      <c r="E44" s="7" t="s">
        <v>118</v>
      </c>
      <c r="F44" s="5" t="s">
        <v>27</v>
      </c>
      <c r="G44" s="5" t="s">
        <v>4</v>
      </c>
      <c r="H44" s="8">
        <v>25.0</v>
      </c>
      <c r="I44" s="9">
        <f>detail_avancement!B44</f>
        <v>0</v>
      </c>
      <c r="J44" s="9">
        <f t="shared" si="1"/>
        <v>25</v>
      </c>
      <c r="K44" s="10">
        <f t="shared" si="2"/>
        <v>0</v>
      </c>
      <c r="L44" s="3"/>
    </row>
    <row r="45" ht="22.5" customHeight="1">
      <c r="A45" s="4">
        <v>44.0</v>
      </c>
      <c r="B45" s="5" t="s">
        <v>119</v>
      </c>
      <c r="C45" s="6" t="s">
        <v>120</v>
      </c>
      <c r="D45" s="6" t="s">
        <v>121</v>
      </c>
      <c r="E45" s="7" t="s">
        <v>122</v>
      </c>
      <c r="F45" s="5" t="s">
        <v>25</v>
      </c>
      <c r="G45" s="5" t="s">
        <v>6</v>
      </c>
      <c r="H45" s="8">
        <v>25.0</v>
      </c>
      <c r="I45" s="9">
        <f>detail_avancement!B45</f>
        <v>0</v>
      </c>
      <c r="J45" s="9">
        <f t="shared" si="1"/>
        <v>25</v>
      </c>
      <c r="K45" s="10">
        <f t="shared" si="2"/>
        <v>0</v>
      </c>
      <c r="L45" s="3"/>
    </row>
    <row r="46" ht="22.5" customHeight="1">
      <c r="A46" s="4">
        <v>45.0</v>
      </c>
      <c r="B46" s="5" t="s">
        <v>119</v>
      </c>
      <c r="C46" s="6" t="s">
        <v>120</v>
      </c>
      <c r="D46" s="6" t="s">
        <v>123</v>
      </c>
      <c r="E46" s="7" t="s">
        <v>124</v>
      </c>
      <c r="F46" s="5" t="s">
        <v>47</v>
      </c>
      <c r="G46" s="5" t="s">
        <v>0</v>
      </c>
      <c r="H46" s="8">
        <v>25.0</v>
      </c>
      <c r="I46" s="9">
        <f>detail_avancement!B46</f>
        <v>0</v>
      </c>
      <c r="J46" s="9">
        <f t="shared" si="1"/>
        <v>25</v>
      </c>
      <c r="K46" s="10">
        <f t="shared" si="2"/>
        <v>0</v>
      </c>
      <c r="L46" s="3"/>
    </row>
    <row r="47" ht="22.5" customHeight="1">
      <c r="A47" s="4">
        <v>46.0</v>
      </c>
      <c r="B47" s="5" t="s">
        <v>119</v>
      </c>
      <c r="C47" s="6" t="s">
        <v>120</v>
      </c>
      <c r="D47" s="6" t="s">
        <v>125</v>
      </c>
      <c r="E47" s="7" t="s">
        <v>126</v>
      </c>
      <c r="F47" s="5" t="s">
        <v>27</v>
      </c>
      <c r="G47" s="5" t="s">
        <v>2</v>
      </c>
      <c r="H47" s="8">
        <v>30.0</v>
      </c>
      <c r="I47" s="9">
        <f>detail_avancement!B47</f>
        <v>0</v>
      </c>
      <c r="J47" s="9">
        <f t="shared" si="1"/>
        <v>30</v>
      </c>
      <c r="K47" s="10">
        <f t="shared" si="2"/>
        <v>0</v>
      </c>
      <c r="L47" s="3"/>
    </row>
    <row r="48" ht="22.5" customHeight="1">
      <c r="A48" s="4">
        <v>47.0</v>
      </c>
      <c r="B48" s="5" t="s">
        <v>119</v>
      </c>
      <c r="C48" s="6" t="s">
        <v>127</v>
      </c>
      <c r="D48" s="6" t="s">
        <v>128</v>
      </c>
      <c r="E48" s="7" t="s">
        <v>129</v>
      </c>
      <c r="F48" s="5" t="s">
        <v>130</v>
      </c>
      <c r="G48" s="5" t="s">
        <v>4</v>
      </c>
      <c r="H48" s="8">
        <v>25.0</v>
      </c>
      <c r="I48" s="9">
        <f>detail_avancement!B48</f>
        <v>25</v>
      </c>
      <c r="J48" s="9">
        <f t="shared" si="1"/>
        <v>0</v>
      </c>
      <c r="K48" s="10">
        <f t="shared" si="2"/>
        <v>1</v>
      </c>
      <c r="L48" s="3"/>
    </row>
    <row r="49" ht="22.5" customHeight="1">
      <c r="A49" s="4">
        <v>48.0</v>
      </c>
      <c r="B49" s="5" t="s">
        <v>119</v>
      </c>
      <c r="C49" s="6" t="s">
        <v>127</v>
      </c>
      <c r="D49" s="6" t="s">
        <v>131</v>
      </c>
      <c r="E49" s="7" t="s">
        <v>132</v>
      </c>
      <c r="F49" s="5" t="s">
        <v>130</v>
      </c>
      <c r="G49" s="5" t="s">
        <v>6</v>
      </c>
      <c r="H49" s="8">
        <v>25.0</v>
      </c>
      <c r="I49" s="9">
        <f>detail_avancement!B49</f>
        <v>0</v>
      </c>
      <c r="J49" s="9">
        <f t="shared" si="1"/>
        <v>25</v>
      </c>
      <c r="K49" s="10">
        <f t="shared" si="2"/>
        <v>0</v>
      </c>
      <c r="L49" s="3"/>
    </row>
    <row r="50" ht="22.5" customHeight="1">
      <c r="A50" s="4">
        <v>49.0</v>
      </c>
      <c r="B50" s="5" t="s">
        <v>119</v>
      </c>
      <c r="C50" s="6" t="s">
        <v>127</v>
      </c>
      <c r="D50" s="6" t="s">
        <v>133</v>
      </c>
      <c r="E50" s="11" t="s">
        <v>134</v>
      </c>
      <c r="F50" s="5" t="s">
        <v>130</v>
      </c>
      <c r="G50" s="5" t="s">
        <v>0</v>
      </c>
      <c r="H50" s="8">
        <v>40.0</v>
      </c>
      <c r="I50" s="9">
        <f>detail_avancement!B50</f>
        <v>0</v>
      </c>
      <c r="J50" s="9">
        <f t="shared" si="1"/>
        <v>40</v>
      </c>
      <c r="K50" s="10">
        <f t="shared" si="2"/>
        <v>0</v>
      </c>
    </row>
    <row r="51" ht="22.5" customHeight="1">
      <c r="A51" s="4">
        <v>50.0</v>
      </c>
      <c r="B51" s="5" t="s">
        <v>135</v>
      </c>
      <c r="C51" s="6" t="s">
        <v>136</v>
      </c>
      <c r="D51" s="6" t="s">
        <v>70</v>
      </c>
      <c r="E51" s="7" t="s">
        <v>137</v>
      </c>
      <c r="F51" s="5" t="s">
        <v>23</v>
      </c>
      <c r="G51" s="5" t="s">
        <v>2</v>
      </c>
      <c r="H51" s="8">
        <v>30.0</v>
      </c>
      <c r="I51" s="9">
        <f>detail_avancement!B51</f>
        <v>30</v>
      </c>
      <c r="J51" s="9">
        <f t="shared" si="1"/>
        <v>0</v>
      </c>
      <c r="K51" s="10">
        <f t="shared" si="2"/>
        <v>1</v>
      </c>
      <c r="L51" s="3"/>
    </row>
    <row r="52" ht="22.5" customHeight="1">
      <c r="A52" s="4">
        <v>51.0</v>
      </c>
      <c r="B52" s="5" t="s">
        <v>135</v>
      </c>
      <c r="C52" s="6" t="s">
        <v>136</v>
      </c>
      <c r="D52" s="6" t="s">
        <v>138</v>
      </c>
      <c r="E52" s="7" t="s">
        <v>139</v>
      </c>
      <c r="F52" s="5" t="s">
        <v>23</v>
      </c>
      <c r="G52" s="5" t="s">
        <v>4</v>
      </c>
      <c r="H52" s="8">
        <v>30.0</v>
      </c>
      <c r="I52" s="9">
        <f>detail_avancement!B52</f>
        <v>30</v>
      </c>
      <c r="J52" s="9">
        <f t="shared" si="1"/>
        <v>0</v>
      </c>
      <c r="K52" s="10">
        <f t="shared" si="2"/>
        <v>1</v>
      </c>
      <c r="L52" s="3"/>
    </row>
    <row r="53" ht="22.5" customHeight="1">
      <c r="A53" s="4">
        <v>52.0</v>
      </c>
      <c r="B53" s="5" t="s">
        <v>135</v>
      </c>
      <c r="C53" s="6" t="s">
        <v>136</v>
      </c>
      <c r="D53" s="6" t="s">
        <v>88</v>
      </c>
      <c r="E53" s="7" t="s">
        <v>140</v>
      </c>
      <c r="F53" s="5" t="s">
        <v>23</v>
      </c>
      <c r="G53" s="5" t="s">
        <v>6</v>
      </c>
      <c r="H53" s="8">
        <v>25.0</v>
      </c>
      <c r="I53" s="9">
        <f>detail_avancement!B53</f>
        <v>25</v>
      </c>
      <c r="J53" s="9">
        <f t="shared" si="1"/>
        <v>0</v>
      </c>
      <c r="K53" s="10">
        <f t="shared" si="2"/>
        <v>1</v>
      </c>
      <c r="L53" s="3"/>
    </row>
    <row r="54" ht="22.5" customHeight="1">
      <c r="A54" s="4">
        <v>53.0</v>
      </c>
      <c r="B54" s="5" t="s">
        <v>135</v>
      </c>
      <c r="C54" s="6" t="s">
        <v>136</v>
      </c>
      <c r="D54" s="6" t="s">
        <v>141</v>
      </c>
      <c r="E54" s="7" t="s">
        <v>142</v>
      </c>
      <c r="F54" s="5" t="s">
        <v>23</v>
      </c>
      <c r="G54" s="5" t="s">
        <v>0</v>
      </c>
      <c r="H54" s="8">
        <v>25.0</v>
      </c>
      <c r="I54" s="9">
        <f>detail_avancement!B54</f>
        <v>25</v>
      </c>
      <c r="J54" s="9">
        <f t="shared" si="1"/>
        <v>0</v>
      </c>
      <c r="K54" s="10">
        <f t="shared" si="2"/>
        <v>1</v>
      </c>
      <c r="L54" s="3"/>
    </row>
    <row r="55" ht="22.5" customHeight="1">
      <c r="A55" s="4">
        <v>54.0</v>
      </c>
      <c r="B55" s="5" t="s">
        <v>135</v>
      </c>
      <c r="C55" s="6" t="s">
        <v>136</v>
      </c>
      <c r="D55" s="6" t="s">
        <v>143</v>
      </c>
      <c r="E55" s="7" t="s">
        <v>144</v>
      </c>
      <c r="F55" s="5" t="s">
        <v>23</v>
      </c>
      <c r="G55" s="5" t="s">
        <v>2</v>
      </c>
      <c r="H55" s="8">
        <v>25.0</v>
      </c>
      <c r="I55" s="9">
        <f>detail_avancement!B55</f>
        <v>0</v>
      </c>
      <c r="J55" s="9">
        <f t="shared" si="1"/>
        <v>25</v>
      </c>
      <c r="K55" s="10">
        <f t="shared" si="2"/>
        <v>0</v>
      </c>
      <c r="L55" s="3"/>
    </row>
    <row r="56" ht="22.5" customHeight="1">
      <c r="A56" s="4">
        <v>55.0</v>
      </c>
      <c r="B56" s="5" t="s">
        <v>135</v>
      </c>
      <c r="C56" s="6" t="s">
        <v>136</v>
      </c>
      <c r="D56" s="6" t="s">
        <v>145</v>
      </c>
      <c r="E56" s="7" t="s">
        <v>146</v>
      </c>
      <c r="F56" s="5" t="s">
        <v>25</v>
      </c>
      <c r="G56" s="5" t="s">
        <v>4</v>
      </c>
      <c r="H56" s="8">
        <v>30.0</v>
      </c>
      <c r="I56" s="9">
        <f>detail_avancement!B56</f>
        <v>30</v>
      </c>
      <c r="J56" s="9">
        <f t="shared" si="1"/>
        <v>0</v>
      </c>
      <c r="K56" s="10">
        <f t="shared" si="2"/>
        <v>1</v>
      </c>
      <c r="L56" s="3"/>
    </row>
    <row r="57" ht="22.5" customHeight="1">
      <c r="A57" s="4">
        <v>56.0</v>
      </c>
      <c r="B57" s="5" t="s">
        <v>135</v>
      </c>
      <c r="C57" s="6" t="s">
        <v>136</v>
      </c>
      <c r="D57" s="6" t="s">
        <v>147</v>
      </c>
      <c r="E57" s="7" t="s">
        <v>148</v>
      </c>
      <c r="F57" s="5" t="s">
        <v>25</v>
      </c>
      <c r="G57" s="5" t="s">
        <v>6</v>
      </c>
      <c r="H57" s="8">
        <v>30.0</v>
      </c>
      <c r="I57" s="9">
        <f>detail_avancement!B57</f>
        <v>0</v>
      </c>
      <c r="J57" s="9">
        <f t="shared" si="1"/>
        <v>30</v>
      </c>
      <c r="K57" s="10">
        <f t="shared" si="2"/>
        <v>0</v>
      </c>
      <c r="L57" s="3"/>
    </row>
    <row r="58" ht="22.5" customHeight="1">
      <c r="A58" s="4">
        <v>57.0</v>
      </c>
      <c r="B58" s="5" t="s">
        <v>135</v>
      </c>
      <c r="C58" s="6" t="s">
        <v>136</v>
      </c>
      <c r="D58" s="6" t="s">
        <v>149</v>
      </c>
      <c r="E58" s="7" t="s">
        <v>150</v>
      </c>
      <c r="F58" s="5" t="s">
        <v>25</v>
      </c>
      <c r="G58" s="5" t="s">
        <v>0</v>
      </c>
      <c r="H58" s="8">
        <v>25.0</v>
      </c>
      <c r="I58" s="9">
        <f>detail_avancement!B58</f>
        <v>0</v>
      </c>
      <c r="J58" s="9">
        <f t="shared" si="1"/>
        <v>25</v>
      </c>
      <c r="K58" s="10">
        <f t="shared" si="2"/>
        <v>0</v>
      </c>
      <c r="L58" s="3"/>
    </row>
    <row r="59" ht="22.5" customHeight="1">
      <c r="A59" s="4">
        <v>58.0</v>
      </c>
      <c r="B59" s="5" t="s">
        <v>135</v>
      </c>
      <c r="C59" s="6" t="s">
        <v>136</v>
      </c>
      <c r="D59" s="6" t="s">
        <v>151</v>
      </c>
      <c r="E59" s="7" t="s">
        <v>152</v>
      </c>
      <c r="F59" s="5" t="s">
        <v>25</v>
      </c>
      <c r="G59" s="5" t="s">
        <v>2</v>
      </c>
      <c r="H59" s="8">
        <v>25.0</v>
      </c>
      <c r="I59" s="9">
        <f>detail_avancement!B59</f>
        <v>0</v>
      </c>
      <c r="J59" s="9">
        <f t="shared" si="1"/>
        <v>25</v>
      </c>
      <c r="K59" s="10">
        <f t="shared" si="2"/>
        <v>0</v>
      </c>
      <c r="L59" s="3"/>
    </row>
    <row r="60" ht="22.5" customHeight="1">
      <c r="A60" s="4">
        <v>59.0</v>
      </c>
      <c r="B60" s="5" t="s">
        <v>135</v>
      </c>
      <c r="C60" s="6" t="s">
        <v>136</v>
      </c>
      <c r="D60" s="6" t="s">
        <v>153</v>
      </c>
      <c r="E60" s="7" t="s">
        <v>154</v>
      </c>
      <c r="F60" s="5" t="s">
        <v>27</v>
      </c>
      <c r="G60" s="5" t="s">
        <v>4</v>
      </c>
      <c r="H60" s="8">
        <v>25.0</v>
      </c>
      <c r="I60" s="9">
        <f>detail_avancement!B60</f>
        <v>0</v>
      </c>
      <c r="J60" s="9">
        <f t="shared" si="1"/>
        <v>25</v>
      </c>
      <c r="K60" s="10">
        <f t="shared" si="2"/>
        <v>0</v>
      </c>
      <c r="L60" s="3"/>
    </row>
    <row r="61" ht="22.5" customHeight="1">
      <c r="A61" s="4">
        <v>60.0</v>
      </c>
      <c r="B61" s="5" t="s">
        <v>135</v>
      </c>
      <c r="C61" s="6" t="s">
        <v>136</v>
      </c>
      <c r="D61" s="6" t="s">
        <v>155</v>
      </c>
      <c r="E61" s="6" t="s">
        <v>156</v>
      </c>
      <c r="F61" s="5" t="s">
        <v>27</v>
      </c>
      <c r="G61" s="5" t="s">
        <v>6</v>
      </c>
      <c r="H61" s="8">
        <v>25.0</v>
      </c>
      <c r="I61" s="9">
        <f>detail_avancement!B61</f>
        <v>25</v>
      </c>
      <c r="J61" s="9">
        <f t="shared" si="1"/>
        <v>0</v>
      </c>
      <c r="K61" s="10">
        <f t="shared" si="2"/>
        <v>1</v>
      </c>
      <c r="L61" s="3"/>
    </row>
    <row r="62" ht="22.5" customHeight="1">
      <c r="A62" s="4">
        <v>61.0</v>
      </c>
      <c r="B62" s="5" t="s">
        <v>135</v>
      </c>
      <c r="C62" s="6" t="s">
        <v>136</v>
      </c>
      <c r="D62" s="6" t="s">
        <v>157</v>
      </c>
      <c r="E62" s="7" t="s">
        <v>158</v>
      </c>
      <c r="F62" s="5" t="s">
        <v>27</v>
      </c>
      <c r="G62" s="5" t="s">
        <v>0</v>
      </c>
      <c r="H62" s="8">
        <v>25.0</v>
      </c>
      <c r="I62" s="9">
        <f>detail_avancement!B62</f>
        <v>25</v>
      </c>
      <c r="J62" s="9">
        <f t="shared" si="1"/>
        <v>0</v>
      </c>
      <c r="K62" s="10">
        <f t="shared" si="2"/>
        <v>1</v>
      </c>
      <c r="L62" s="3"/>
    </row>
    <row r="63" ht="22.5" customHeight="1">
      <c r="A63" s="4">
        <v>62.0</v>
      </c>
      <c r="B63" s="5" t="s">
        <v>135</v>
      </c>
      <c r="C63" s="6" t="s">
        <v>136</v>
      </c>
      <c r="D63" s="6" t="s">
        <v>159</v>
      </c>
      <c r="E63" s="7" t="s">
        <v>160</v>
      </c>
      <c r="F63" s="5" t="s">
        <v>27</v>
      </c>
      <c r="G63" s="5" t="s">
        <v>2</v>
      </c>
      <c r="H63" s="8">
        <v>25.0</v>
      </c>
      <c r="I63" s="9">
        <f>detail_avancement!B63</f>
        <v>0</v>
      </c>
      <c r="J63" s="9">
        <f t="shared" si="1"/>
        <v>25</v>
      </c>
      <c r="K63" s="10">
        <f t="shared" si="2"/>
        <v>0</v>
      </c>
      <c r="L63" s="3"/>
    </row>
    <row r="64" ht="22.5" customHeight="1">
      <c r="A64" s="4">
        <v>63.0</v>
      </c>
      <c r="B64" s="5" t="s">
        <v>135</v>
      </c>
      <c r="C64" s="6" t="s">
        <v>136</v>
      </c>
      <c r="D64" s="6" t="s">
        <v>161</v>
      </c>
      <c r="E64" s="7" t="s">
        <v>162</v>
      </c>
      <c r="F64" s="5" t="s">
        <v>23</v>
      </c>
      <c r="G64" s="5" t="s">
        <v>4</v>
      </c>
      <c r="H64" s="8">
        <v>25.0</v>
      </c>
      <c r="I64" s="9">
        <f>detail_avancement!B64</f>
        <v>0</v>
      </c>
      <c r="J64" s="9">
        <f t="shared" si="1"/>
        <v>25</v>
      </c>
      <c r="K64" s="10">
        <f t="shared" si="2"/>
        <v>0</v>
      </c>
      <c r="L64" s="3"/>
    </row>
    <row r="65" ht="22.5" customHeight="1">
      <c r="A65" s="4">
        <v>64.0</v>
      </c>
      <c r="B65" s="5" t="s">
        <v>135</v>
      </c>
      <c r="C65" s="6" t="s">
        <v>136</v>
      </c>
      <c r="D65" s="6" t="s">
        <v>163</v>
      </c>
      <c r="E65" s="7" t="s">
        <v>164</v>
      </c>
      <c r="F65" s="5" t="s">
        <v>23</v>
      </c>
      <c r="G65" s="5" t="s">
        <v>6</v>
      </c>
      <c r="H65" s="8">
        <v>25.0</v>
      </c>
      <c r="I65" s="9">
        <f>detail_avancement!B65</f>
        <v>0</v>
      </c>
      <c r="J65" s="9">
        <f t="shared" si="1"/>
        <v>25</v>
      </c>
      <c r="K65" s="10">
        <f t="shared" si="2"/>
        <v>0</v>
      </c>
      <c r="L65" s="3"/>
    </row>
    <row r="66" ht="22.5" customHeight="1">
      <c r="A66" s="4">
        <v>65.0</v>
      </c>
      <c r="B66" s="5" t="s">
        <v>135</v>
      </c>
      <c r="C66" s="6" t="s">
        <v>136</v>
      </c>
      <c r="D66" s="6" t="s">
        <v>165</v>
      </c>
      <c r="E66" s="7" t="s">
        <v>166</v>
      </c>
      <c r="F66" s="5" t="s">
        <v>23</v>
      </c>
      <c r="G66" s="5" t="s">
        <v>0</v>
      </c>
      <c r="H66" s="8">
        <v>25.0</v>
      </c>
      <c r="I66" s="9">
        <f>detail_avancement!B66</f>
        <v>0</v>
      </c>
      <c r="J66" s="9">
        <f t="shared" si="1"/>
        <v>25</v>
      </c>
      <c r="K66" s="10">
        <f t="shared" si="2"/>
        <v>0</v>
      </c>
      <c r="L66" s="3"/>
    </row>
    <row r="67" ht="22.5" customHeight="1">
      <c r="A67" s="4">
        <v>66.0</v>
      </c>
      <c r="B67" s="5" t="s">
        <v>135</v>
      </c>
      <c r="C67" s="6" t="s">
        <v>136</v>
      </c>
      <c r="D67" s="6" t="s">
        <v>167</v>
      </c>
      <c r="E67" s="7" t="s">
        <v>168</v>
      </c>
      <c r="F67" s="5" t="s">
        <v>23</v>
      </c>
      <c r="G67" s="5" t="s">
        <v>2</v>
      </c>
      <c r="H67" s="8">
        <v>30.0</v>
      </c>
      <c r="I67" s="9">
        <f>detail_avancement!B67</f>
        <v>30</v>
      </c>
      <c r="J67" s="9">
        <f t="shared" si="1"/>
        <v>0</v>
      </c>
      <c r="K67" s="10">
        <f t="shared" si="2"/>
        <v>1</v>
      </c>
      <c r="L67" s="3"/>
    </row>
    <row r="68" ht="22.5" customHeight="1">
      <c r="A68" s="4">
        <v>67.0</v>
      </c>
      <c r="B68" s="5" t="s">
        <v>135</v>
      </c>
      <c r="C68" s="6" t="s">
        <v>136</v>
      </c>
      <c r="D68" s="6" t="s">
        <v>169</v>
      </c>
      <c r="E68" s="7" t="s">
        <v>170</v>
      </c>
      <c r="F68" s="5" t="s">
        <v>23</v>
      </c>
      <c r="G68" s="5" t="s">
        <v>4</v>
      </c>
      <c r="H68" s="8">
        <v>30.0</v>
      </c>
      <c r="I68" s="9">
        <f>detail_avancement!B68</f>
        <v>30</v>
      </c>
      <c r="J68" s="9">
        <f t="shared" si="1"/>
        <v>0</v>
      </c>
      <c r="K68" s="10">
        <f t="shared" si="2"/>
        <v>1</v>
      </c>
      <c r="L68" s="3"/>
    </row>
    <row r="69" ht="22.5" customHeight="1">
      <c r="A69" s="4">
        <v>68.0</v>
      </c>
      <c r="B69" s="5" t="s">
        <v>135</v>
      </c>
      <c r="C69" s="6" t="s">
        <v>136</v>
      </c>
      <c r="D69" s="6" t="s">
        <v>171</v>
      </c>
      <c r="E69" s="7" t="s">
        <v>172</v>
      </c>
      <c r="F69" s="5" t="s">
        <v>23</v>
      </c>
      <c r="G69" s="5" t="s">
        <v>6</v>
      </c>
      <c r="H69" s="8">
        <v>20.0</v>
      </c>
      <c r="I69" s="9">
        <f>detail_avancement!B69</f>
        <v>20</v>
      </c>
      <c r="J69" s="9">
        <f t="shared" si="1"/>
        <v>0</v>
      </c>
      <c r="K69" s="10">
        <f t="shared" si="2"/>
        <v>1</v>
      </c>
      <c r="L69" s="3"/>
    </row>
    <row r="70" ht="22.5" customHeight="1">
      <c r="A70" s="4">
        <v>69.0</v>
      </c>
      <c r="B70" s="5" t="s">
        <v>135</v>
      </c>
      <c r="C70" s="6" t="s">
        <v>173</v>
      </c>
      <c r="D70" s="6" t="s">
        <v>173</v>
      </c>
      <c r="E70" s="7" t="s">
        <v>174</v>
      </c>
      <c r="F70" s="5" t="s">
        <v>23</v>
      </c>
      <c r="G70" s="5" t="s">
        <v>0</v>
      </c>
      <c r="H70" s="8">
        <v>40.0</v>
      </c>
      <c r="I70" s="9">
        <f>detail_avancement!B70</f>
        <v>40</v>
      </c>
      <c r="J70" s="9">
        <f t="shared" si="1"/>
        <v>0</v>
      </c>
      <c r="K70" s="10">
        <f t="shared" si="2"/>
        <v>1</v>
      </c>
      <c r="L70" s="3"/>
    </row>
    <row r="71" ht="22.5" customHeight="1">
      <c r="A71" s="4">
        <v>70.0</v>
      </c>
      <c r="B71" s="5" t="s">
        <v>135</v>
      </c>
      <c r="C71" s="6" t="s">
        <v>173</v>
      </c>
      <c r="D71" s="6" t="s">
        <v>175</v>
      </c>
      <c r="E71" s="7" t="s">
        <v>176</v>
      </c>
      <c r="F71" s="5" t="s">
        <v>23</v>
      </c>
      <c r="G71" s="5" t="s">
        <v>2</v>
      </c>
      <c r="H71" s="8">
        <v>40.0</v>
      </c>
      <c r="I71" s="9">
        <f>detail_avancement!B71</f>
        <v>0</v>
      </c>
      <c r="J71" s="9">
        <f t="shared" si="1"/>
        <v>40</v>
      </c>
      <c r="K71" s="10">
        <f t="shared" si="2"/>
        <v>0</v>
      </c>
      <c r="L71" s="3"/>
    </row>
    <row r="72" ht="22.5" customHeight="1">
      <c r="A72" s="4">
        <v>71.0</v>
      </c>
      <c r="B72" s="5" t="s">
        <v>135</v>
      </c>
      <c r="C72" s="6" t="s">
        <v>136</v>
      </c>
      <c r="D72" s="6" t="s">
        <v>177</v>
      </c>
      <c r="E72" s="7" t="s">
        <v>178</v>
      </c>
      <c r="F72" s="5" t="s">
        <v>25</v>
      </c>
      <c r="G72" s="5" t="s">
        <v>4</v>
      </c>
      <c r="H72" s="8">
        <v>25.0</v>
      </c>
      <c r="I72" s="9">
        <f>detail_avancement!B72</f>
        <v>25</v>
      </c>
      <c r="J72" s="9">
        <f t="shared" si="1"/>
        <v>0</v>
      </c>
      <c r="K72" s="10">
        <f t="shared" si="2"/>
        <v>1</v>
      </c>
      <c r="L72" s="3"/>
    </row>
    <row r="73" ht="22.5" customHeight="1">
      <c r="A73" s="4">
        <v>72.0</v>
      </c>
      <c r="B73" s="5" t="s">
        <v>135</v>
      </c>
      <c r="C73" s="6" t="s">
        <v>136</v>
      </c>
      <c r="D73" s="6" t="s">
        <v>179</v>
      </c>
      <c r="E73" s="7" t="s">
        <v>180</v>
      </c>
      <c r="F73" s="5" t="s">
        <v>25</v>
      </c>
      <c r="G73" s="5" t="s">
        <v>6</v>
      </c>
      <c r="H73" s="8">
        <v>25.0</v>
      </c>
      <c r="I73" s="9">
        <f>detail_avancement!B73</f>
        <v>0</v>
      </c>
      <c r="J73" s="9">
        <f t="shared" si="1"/>
        <v>25</v>
      </c>
      <c r="K73" s="10">
        <f t="shared" si="2"/>
        <v>0</v>
      </c>
      <c r="L73" s="3"/>
    </row>
    <row r="74" ht="22.5" customHeight="1">
      <c r="A74" s="4">
        <v>73.0</v>
      </c>
      <c r="B74" s="5" t="s">
        <v>135</v>
      </c>
      <c r="C74" s="6" t="s">
        <v>136</v>
      </c>
      <c r="D74" s="6" t="s">
        <v>181</v>
      </c>
      <c r="E74" s="7" t="s">
        <v>182</v>
      </c>
      <c r="F74" s="5" t="s">
        <v>25</v>
      </c>
      <c r="G74" s="5" t="s">
        <v>0</v>
      </c>
      <c r="H74" s="8">
        <v>25.0</v>
      </c>
      <c r="I74" s="9">
        <f>detail_avancement!B74</f>
        <v>0</v>
      </c>
      <c r="J74" s="9">
        <f t="shared" si="1"/>
        <v>25</v>
      </c>
      <c r="K74" s="10">
        <f t="shared" si="2"/>
        <v>0</v>
      </c>
      <c r="L74" s="3"/>
    </row>
    <row r="75" ht="22.5" customHeight="1">
      <c r="A75" s="4">
        <v>74.0</v>
      </c>
      <c r="B75" s="5" t="s">
        <v>135</v>
      </c>
      <c r="C75" s="6" t="s">
        <v>136</v>
      </c>
      <c r="D75" s="6" t="s">
        <v>183</v>
      </c>
      <c r="E75" s="7" t="s">
        <v>184</v>
      </c>
      <c r="F75" s="5" t="s">
        <v>25</v>
      </c>
      <c r="G75" s="5" t="s">
        <v>2</v>
      </c>
      <c r="H75" s="8">
        <v>25.0</v>
      </c>
      <c r="I75" s="9">
        <f>detail_avancement!B75</f>
        <v>0</v>
      </c>
      <c r="J75" s="9">
        <f t="shared" si="1"/>
        <v>25</v>
      </c>
      <c r="K75" s="10">
        <f t="shared" si="2"/>
        <v>0</v>
      </c>
      <c r="L75" s="3"/>
    </row>
    <row r="76" ht="22.5" customHeight="1">
      <c r="A76" s="4">
        <v>75.0</v>
      </c>
      <c r="B76" s="5" t="s">
        <v>135</v>
      </c>
      <c r="C76" s="6" t="s">
        <v>136</v>
      </c>
      <c r="D76" s="6" t="s">
        <v>185</v>
      </c>
      <c r="E76" s="7" t="s">
        <v>186</v>
      </c>
      <c r="F76" s="5" t="s">
        <v>25</v>
      </c>
      <c r="G76" s="5" t="s">
        <v>4</v>
      </c>
      <c r="H76" s="8">
        <v>25.0</v>
      </c>
      <c r="I76" s="9">
        <f>detail_avancement!B76</f>
        <v>0</v>
      </c>
      <c r="J76" s="9">
        <f t="shared" si="1"/>
        <v>25</v>
      </c>
      <c r="K76" s="10">
        <f t="shared" si="2"/>
        <v>0</v>
      </c>
      <c r="L76" s="3"/>
    </row>
    <row r="77" ht="22.5" customHeight="1">
      <c r="A77" s="4">
        <v>76.0</v>
      </c>
      <c r="B77" s="5" t="s">
        <v>135</v>
      </c>
      <c r="C77" s="6" t="s">
        <v>173</v>
      </c>
      <c r="D77" s="6" t="s">
        <v>187</v>
      </c>
      <c r="E77" s="7" t="s">
        <v>188</v>
      </c>
      <c r="F77" s="5" t="s">
        <v>25</v>
      </c>
      <c r="G77" s="5" t="s">
        <v>6</v>
      </c>
      <c r="H77" s="8">
        <v>25.0</v>
      </c>
      <c r="I77" s="9">
        <f>detail_avancement!B77</f>
        <v>0</v>
      </c>
      <c r="J77" s="9">
        <f t="shared" si="1"/>
        <v>25</v>
      </c>
      <c r="K77" s="10">
        <f t="shared" si="2"/>
        <v>0</v>
      </c>
      <c r="L77" s="3"/>
    </row>
    <row r="78" ht="22.5" customHeight="1">
      <c r="A78" s="4">
        <v>77.0</v>
      </c>
      <c r="B78" s="5" t="s">
        <v>135</v>
      </c>
      <c r="C78" s="6" t="s">
        <v>136</v>
      </c>
      <c r="D78" s="6" t="s">
        <v>189</v>
      </c>
      <c r="E78" s="7" t="s">
        <v>190</v>
      </c>
      <c r="F78" s="5" t="s">
        <v>27</v>
      </c>
      <c r="G78" s="5" t="s">
        <v>0</v>
      </c>
      <c r="H78" s="8">
        <v>25.0</v>
      </c>
      <c r="I78" s="9">
        <f>detail_avancement!B78</f>
        <v>0</v>
      </c>
      <c r="J78" s="9">
        <f t="shared" si="1"/>
        <v>25</v>
      </c>
      <c r="K78" s="10">
        <f t="shared" si="2"/>
        <v>0</v>
      </c>
      <c r="L78" s="3"/>
    </row>
    <row r="79" ht="22.5" customHeight="1">
      <c r="A79" s="4">
        <v>78.0</v>
      </c>
      <c r="B79" s="5" t="s">
        <v>135</v>
      </c>
      <c r="C79" s="6" t="s">
        <v>136</v>
      </c>
      <c r="D79" s="6" t="s">
        <v>191</v>
      </c>
      <c r="E79" s="7" t="s">
        <v>192</v>
      </c>
      <c r="F79" s="5" t="s">
        <v>27</v>
      </c>
      <c r="G79" s="5" t="s">
        <v>2</v>
      </c>
      <c r="H79" s="8">
        <v>25.0</v>
      </c>
      <c r="I79" s="9">
        <f>detail_avancement!B79</f>
        <v>0</v>
      </c>
      <c r="J79" s="9">
        <f t="shared" si="1"/>
        <v>25</v>
      </c>
      <c r="K79" s="10">
        <f t="shared" si="2"/>
        <v>0</v>
      </c>
      <c r="L79" s="3"/>
    </row>
    <row r="80" ht="22.5" customHeight="1">
      <c r="A80" s="4">
        <v>79.0</v>
      </c>
      <c r="B80" s="5" t="s">
        <v>135</v>
      </c>
      <c r="C80" s="6" t="s">
        <v>136</v>
      </c>
      <c r="D80" s="6" t="s">
        <v>193</v>
      </c>
      <c r="E80" s="7" t="s">
        <v>194</v>
      </c>
      <c r="F80" s="5" t="s">
        <v>27</v>
      </c>
      <c r="G80" s="5" t="s">
        <v>4</v>
      </c>
      <c r="H80" s="8">
        <v>25.0</v>
      </c>
      <c r="I80" s="9">
        <f>detail_avancement!B80</f>
        <v>0</v>
      </c>
      <c r="J80" s="9">
        <f t="shared" si="1"/>
        <v>25</v>
      </c>
      <c r="K80" s="10">
        <f t="shared" si="2"/>
        <v>0</v>
      </c>
      <c r="L80" s="3"/>
    </row>
    <row r="81" ht="22.5" customHeight="1">
      <c r="A81" s="4">
        <v>80.0</v>
      </c>
      <c r="B81" s="5" t="s">
        <v>135</v>
      </c>
      <c r="C81" s="6" t="s">
        <v>173</v>
      </c>
      <c r="D81" s="6" t="s">
        <v>195</v>
      </c>
      <c r="E81" s="7" t="s">
        <v>196</v>
      </c>
      <c r="F81" s="5" t="s">
        <v>27</v>
      </c>
      <c r="G81" s="5" t="s">
        <v>6</v>
      </c>
      <c r="H81" s="8">
        <v>30.0</v>
      </c>
      <c r="I81" s="9">
        <f>detail_avancement!B81</f>
        <v>0</v>
      </c>
      <c r="J81" s="9">
        <f t="shared" si="1"/>
        <v>30</v>
      </c>
      <c r="K81" s="10">
        <f t="shared" si="2"/>
        <v>0</v>
      </c>
      <c r="L81" s="3"/>
    </row>
    <row r="82" ht="22.5" customHeight="1">
      <c r="A82" s="4">
        <v>81.0</v>
      </c>
      <c r="B82" s="5" t="s">
        <v>135</v>
      </c>
      <c r="C82" s="6" t="s">
        <v>173</v>
      </c>
      <c r="D82" s="6" t="s">
        <v>197</v>
      </c>
      <c r="E82" s="7" t="s">
        <v>198</v>
      </c>
      <c r="F82" s="5" t="s">
        <v>27</v>
      </c>
      <c r="G82" s="5" t="s">
        <v>0</v>
      </c>
      <c r="H82" s="8">
        <v>30.0</v>
      </c>
      <c r="I82" s="9">
        <f>detail_avancement!B82</f>
        <v>0</v>
      </c>
      <c r="J82" s="9">
        <f t="shared" si="1"/>
        <v>30</v>
      </c>
      <c r="K82" s="10">
        <f t="shared" si="2"/>
        <v>0</v>
      </c>
      <c r="L82" s="3"/>
    </row>
    <row r="83" ht="22.5" customHeight="1">
      <c r="A83" s="4">
        <v>82.0</v>
      </c>
      <c r="B83" s="5" t="s">
        <v>55</v>
      </c>
      <c r="C83" s="6" t="s">
        <v>199</v>
      </c>
      <c r="D83" s="6" t="s">
        <v>199</v>
      </c>
      <c r="E83" s="7" t="s">
        <v>200</v>
      </c>
      <c r="F83" s="5" t="s">
        <v>23</v>
      </c>
      <c r="G83" s="5" t="s">
        <v>2</v>
      </c>
      <c r="H83" s="8">
        <v>30.0</v>
      </c>
      <c r="I83" s="9">
        <f>detail_avancement!B83</f>
        <v>0</v>
      </c>
      <c r="J83" s="9">
        <f t="shared" si="1"/>
        <v>30</v>
      </c>
      <c r="K83" s="10">
        <f t="shared" si="2"/>
        <v>0</v>
      </c>
      <c r="L83" s="3"/>
    </row>
    <row r="84" ht="22.5" customHeight="1">
      <c r="A84" s="4">
        <v>83.0</v>
      </c>
      <c r="B84" s="5" t="s">
        <v>55</v>
      </c>
      <c r="C84" s="6" t="s">
        <v>199</v>
      </c>
      <c r="D84" s="6" t="s">
        <v>201</v>
      </c>
      <c r="E84" s="7" t="s">
        <v>202</v>
      </c>
      <c r="F84" s="5" t="s">
        <v>62</v>
      </c>
      <c r="G84" s="5" t="s">
        <v>4</v>
      </c>
      <c r="H84" s="8">
        <v>40.0</v>
      </c>
      <c r="I84" s="9">
        <f>detail_avancement!B84</f>
        <v>0</v>
      </c>
      <c r="J84" s="9">
        <f t="shared" si="1"/>
        <v>40</v>
      </c>
      <c r="K84" s="10">
        <f t="shared" si="2"/>
        <v>0</v>
      </c>
      <c r="L84" s="3"/>
    </row>
    <row r="85" ht="22.5" customHeight="1">
      <c r="A85" s="4">
        <v>84.0</v>
      </c>
      <c r="B85" s="5" t="s">
        <v>55</v>
      </c>
      <c r="C85" s="6" t="s">
        <v>203</v>
      </c>
      <c r="D85" s="6" t="s">
        <v>204</v>
      </c>
      <c r="E85" s="7" t="s">
        <v>205</v>
      </c>
      <c r="F85" s="5" t="s">
        <v>27</v>
      </c>
      <c r="G85" s="5" t="s">
        <v>6</v>
      </c>
      <c r="H85" s="8">
        <v>40.0</v>
      </c>
      <c r="I85" s="9">
        <f>detail_avancement!B85</f>
        <v>0</v>
      </c>
      <c r="J85" s="9">
        <f t="shared" si="1"/>
        <v>40</v>
      </c>
      <c r="K85" s="10">
        <f t="shared" si="2"/>
        <v>0</v>
      </c>
      <c r="L85" s="3"/>
    </row>
    <row r="86" ht="22.5" customHeight="1">
      <c r="A86" s="4">
        <v>85.0</v>
      </c>
      <c r="B86" s="5" t="s">
        <v>55</v>
      </c>
      <c r="C86" s="6" t="s">
        <v>203</v>
      </c>
      <c r="D86" s="6" t="s">
        <v>206</v>
      </c>
      <c r="E86" s="7" t="s">
        <v>207</v>
      </c>
      <c r="F86" s="5" t="s">
        <v>27</v>
      </c>
      <c r="G86" s="5" t="s">
        <v>0</v>
      </c>
      <c r="H86" s="8">
        <v>40.0</v>
      </c>
      <c r="I86" s="9">
        <f>detail_avancement!B86</f>
        <v>0</v>
      </c>
      <c r="J86" s="9">
        <f t="shared" si="1"/>
        <v>40</v>
      </c>
      <c r="K86" s="10">
        <f t="shared" si="2"/>
        <v>0</v>
      </c>
      <c r="L86" s="3"/>
    </row>
    <row r="87" ht="22.5" customHeight="1">
      <c r="A87" s="4">
        <v>86.0</v>
      </c>
      <c r="B87" s="5" t="s">
        <v>55</v>
      </c>
      <c r="C87" s="6" t="s">
        <v>203</v>
      </c>
      <c r="D87" s="6" t="s">
        <v>208</v>
      </c>
      <c r="E87" s="7" t="s">
        <v>209</v>
      </c>
      <c r="F87" s="5" t="s">
        <v>27</v>
      </c>
      <c r="G87" s="5" t="s">
        <v>2</v>
      </c>
      <c r="H87" s="8">
        <v>30.0</v>
      </c>
      <c r="I87" s="9">
        <f>detail_avancement!B87</f>
        <v>0</v>
      </c>
      <c r="J87" s="9">
        <f t="shared" si="1"/>
        <v>30</v>
      </c>
      <c r="K87" s="10">
        <f t="shared" si="2"/>
        <v>0</v>
      </c>
      <c r="L87" s="3"/>
    </row>
    <row r="88" ht="22.5" customHeight="1">
      <c r="A88" s="4">
        <v>87.0</v>
      </c>
      <c r="B88" s="5" t="s">
        <v>55</v>
      </c>
      <c r="C88" s="6" t="s">
        <v>210</v>
      </c>
      <c r="D88" s="6" t="s">
        <v>211</v>
      </c>
      <c r="E88" s="7" t="s">
        <v>212</v>
      </c>
      <c r="F88" s="5" t="s">
        <v>23</v>
      </c>
      <c r="G88" s="5" t="s">
        <v>4</v>
      </c>
      <c r="H88" s="8">
        <v>25.0</v>
      </c>
      <c r="I88" s="9">
        <f>detail_avancement!B88</f>
        <v>0</v>
      </c>
      <c r="J88" s="9">
        <f t="shared" si="1"/>
        <v>25</v>
      </c>
      <c r="K88" s="10">
        <f t="shared" si="2"/>
        <v>0</v>
      </c>
      <c r="L88" s="3"/>
    </row>
    <row r="89" ht="22.5" customHeight="1">
      <c r="A89" s="4">
        <v>88.0</v>
      </c>
      <c r="B89" s="5" t="s">
        <v>55</v>
      </c>
      <c r="C89" s="6" t="s">
        <v>210</v>
      </c>
      <c r="D89" s="6" t="s">
        <v>213</v>
      </c>
      <c r="E89" s="7" t="s">
        <v>214</v>
      </c>
      <c r="F89" s="5" t="s">
        <v>23</v>
      </c>
      <c r="G89" s="5" t="s">
        <v>6</v>
      </c>
      <c r="H89" s="8">
        <v>40.0</v>
      </c>
      <c r="I89" s="9">
        <f>detail_avancement!B89</f>
        <v>0</v>
      </c>
      <c r="J89" s="9">
        <f t="shared" si="1"/>
        <v>40</v>
      </c>
      <c r="K89" s="10">
        <f t="shared" si="2"/>
        <v>0</v>
      </c>
      <c r="L89" s="3"/>
    </row>
    <row r="90" ht="22.5" customHeight="1">
      <c r="A90" s="4">
        <v>89.0</v>
      </c>
      <c r="B90" s="5" t="s">
        <v>55</v>
      </c>
      <c r="C90" s="6" t="s">
        <v>210</v>
      </c>
      <c r="D90" s="6" t="s">
        <v>215</v>
      </c>
      <c r="E90" s="7" t="s">
        <v>216</v>
      </c>
      <c r="F90" s="5" t="s">
        <v>25</v>
      </c>
      <c r="G90" s="5" t="s">
        <v>0</v>
      </c>
      <c r="H90" s="8">
        <v>40.0</v>
      </c>
      <c r="I90" s="9">
        <f>detail_avancement!B90</f>
        <v>0</v>
      </c>
      <c r="J90" s="9">
        <f t="shared" si="1"/>
        <v>40</v>
      </c>
      <c r="K90" s="10">
        <f t="shared" si="2"/>
        <v>0</v>
      </c>
      <c r="L90" s="3"/>
    </row>
    <row r="91" ht="22.5" customHeight="1">
      <c r="A91" s="4">
        <v>90.0</v>
      </c>
      <c r="B91" s="5" t="s">
        <v>55</v>
      </c>
      <c r="C91" s="6" t="s">
        <v>210</v>
      </c>
      <c r="D91" s="6" t="s">
        <v>217</v>
      </c>
      <c r="E91" s="7" t="s">
        <v>218</v>
      </c>
      <c r="F91" s="5" t="s">
        <v>25</v>
      </c>
      <c r="G91" s="5" t="s">
        <v>2</v>
      </c>
      <c r="H91" s="8">
        <v>40.0</v>
      </c>
      <c r="I91" s="9">
        <f>detail_avancement!B91</f>
        <v>0</v>
      </c>
      <c r="J91" s="9">
        <f t="shared" si="1"/>
        <v>40</v>
      </c>
      <c r="K91" s="10">
        <f t="shared" si="2"/>
        <v>0</v>
      </c>
      <c r="L91" s="3"/>
    </row>
    <row r="92" ht="22.5" customHeight="1">
      <c r="A92" s="4">
        <v>91.0</v>
      </c>
      <c r="B92" s="5" t="s">
        <v>55</v>
      </c>
      <c r="C92" s="6" t="s">
        <v>210</v>
      </c>
      <c r="D92" s="6" t="s">
        <v>219</v>
      </c>
      <c r="E92" s="7" t="s">
        <v>220</v>
      </c>
      <c r="F92" s="5" t="s">
        <v>25</v>
      </c>
      <c r="G92" s="5" t="s">
        <v>4</v>
      </c>
      <c r="H92" s="8">
        <v>30.0</v>
      </c>
      <c r="I92" s="9">
        <f>detail_avancement!B92</f>
        <v>0</v>
      </c>
      <c r="J92" s="9">
        <f t="shared" si="1"/>
        <v>30</v>
      </c>
      <c r="K92" s="10">
        <f t="shared" si="2"/>
        <v>0</v>
      </c>
      <c r="L92" s="3"/>
    </row>
    <row r="93" ht="22.5" customHeight="1">
      <c r="A93" s="4">
        <v>92.0</v>
      </c>
      <c r="B93" s="5" t="s">
        <v>55</v>
      </c>
      <c r="C93" s="6" t="s">
        <v>210</v>
      </c>
      <c r="D93" s="6" t="s">
        <v>221</v>
      </c>
      <c r="E93" s="7" t="s">
        <v>222</v>
      </c>
      <c r="F93" s="5" t="s">
        <v>25</v>
      </c>
      <c r="G93" s="5" t="s">
        <v>6</v>
      </c>
      <c r="H93" s="8">
        <v>25.0</v>
      </c>
      <c r="I93" s="9">
        <f>detail_avancement!B93</f>
        <v>0</v>
      </c>
      <c r="J93" s="9">
        <f t="shared" si="1"/>
        <v>25</v>
      </c>
      <c r="K93" s="10">
        <f t="shared" si="2"/>
        <v>0</v>
      </c>
      <c r="L93" s="3"/>
    </row>
    <row r="94" ht="22.5" customHeight="1">
      <c r="A94" s="4">
        <v>93.0</v>
      </c>
      <c r="B94" s="5" t="s">
        <v>55</v>
      </c>
      <c r="C94" s="6" t="s">
        <v>210</v>
      </c>
      <c r="D94" s="6" t="s">
        <v>223</v>
      </c>
      <c r="E94" s="7" t="s">
        <v>224</v>
      </c>
      <c r="F94" s="5" t="s">
        <v>25</v>
      </c>
      <c r="G94" s="5" t="s">
        <v>0</v>
      </c>
      <c r="H94" s="8">
        <v>30.0</v>
      </c>
      <c r="I94" s="9">
        <f>detail_avancement!B94</f>
        <v>0</v>
      </c>
      <c r="J94" s="9">
        <f t="shared" si="1"/>
        <v>30</v>
      </c>
      <c r="K94" s="10">
        <f t="shared" si="2"/>
        <v>0</v>
      </c>
      <c r="L94" s="3"/>
    </row>
    <row r="95" ht="22.5" customHeight="1">
      <c r="A95" s="4">
        <v>94.0</v>
      </c>
      <c r="B95" s="5" t="s">
        <v>55</v>
      </c>
      <c r="C95" s="6" t="s">
        <v>210</v>
      </c>
      <c r="D95" s="6" t="s">
        <v>225</v>
      </c>
      <c r="E95" s="7" t="s">
        <v>226</v>
      </c>
      <c r="F95" s="5" t="s">
        <v>62</v>
      </c>
      <c r="G95" s="5" t="s">
        <v>2</v>
      </c>
      <c r="H95" s="8">
        <v>25.0</v>
      </c>
      <c r="I95" s="9">
        <f>detail_avancement!B95</f>
        <v>0</v>
      </c>
      <c r="J95" s="9">
        <f t="shared" si="1"/>
        <v>25</v>
      </c>
      <c r="K95" s="10">
        <f t="shared" si="2"/>
        <v>0</v>
      </c>
      <c r="L95" s="3"/>
    </row>
    <row r="96" ht="22.5" customHeight="1">
      <c r="A96" s="4">
        <v>95.0</v>
      </c>
      <c r="B96" s="5" t="s">
        <v>55</v>
      </c>
      <c r="C96" s="6" t="s">
        <v>33</v>
      </c>
      <c r="D96" s="6" t="s">
        <v>227</v>
      </c>
      <c r="E96" s="7" t="s">
        <v>228</v>
      </c>
      <c r="F96" s="5" t="s">
        <v>23</v>
      </c>
      <c r="G96" s="5" t="s">
        <v>4</v>
      </c>
      <c r="H96" s="8">
        <v>25.0</v>
      </c>
      <c r="I96" s="9">
        <f>detail_avancement!B96</f>
        <v>0</v>
      </c>
      <c r="J96" s="9">
        <f t="shared" si="1"/>
        <v>25</v>
      </c>
      <c r="K96" s="10">
        <f t="shared" si="2"/>
        <v>0</v>
      </c>
      <c r="L96" s="3"/>
    </row>
    <row r="97" ht="22.5" customHeight="1">
      <c r="A97" s="4">
        <v>96.0</v>
      </c>
      <c r="B97" s="5" t="s">
        <v>55</v>
      </c>
      <c r="C97" s="6" t="s">
        <v>33</v>
      </c>
      <c r="D97" s="6" t="s">
        <v>229</v>
      </c>
      <c r="E97" s="7" t="s">
        <v>230</v>
      </c>
      <c r="F97" s="5" t="s">
        <v>62</v>
      </c>
      <c r="G97" s="5" t="s">
        <v>6</v>
      </c>
      <c r="H97" s="8">
        <v>25.0</v>
      </c>
      <c r="I97" s="9">
        <f>detail_avancement!B97</f>
        <v>0</v>
      </c>
      <c r="J97" s="9">
        <f t="shared" si="1"/>
        <v>25</v>
      </c>
      <c r="K97" s="10">
        <f t="shared" si="2"/>
        <v>0</v>
      </c>
      <c r="L97" s="3"/>
    </row>
    <row r="98" ht="22.5" customHeight="1">
      <c r="A98" s="4">
        <v>97.0</v>
      </c>
      <c r="B98" s="5" t="s">
        <v>55</v>
      </c>
      <c r="C98" s="6" t="s">
        <v>33</v>
      </c>
      <c r="D98" s="6" t="s">
        <v>231</v>
      </c>
      <c r="E98" s="7" t="s">
        <v>232</v>
      </c>
      <c r="F98" s="5" t="s">
        <v>27</v>
      </c>
      <c r="G98" s="5" t="s">
        <v>0</v>
      </c>
      <c r="H98" s="8">
        <v>30.0</v>
      </c>
      <c r="I98" s="9">
        <f>detail_avancement!B98</f>
        <v>0</v>
      </c>
      <c r="J98" s="9">
        <f t="shared" si="1"/>
        <v>30</v>
      </c>
      <c r="K98" s="10">
        <f t="shared" si="2"/>
        <v>0</v>
      </c>
      <c r="L98" s="3"/>
    </row>
    <row r="99" ht="22.5" customHeight="1">
      <c r="A99" s="4">
        <v>98.0</v>
      </c>
      <c r="B99" s="5" t="s">
        <v>55</v>
      </c>
      <c r="C99" s="6" t="s">
        <v>51</v>
      </c>
      <c r="D99" s="6" t="s">
        <v>233</v>
      </c>
      <c r="E99" s="7" t="s">
        <v>234</v>
      </c>
      <c r="F99" s="5" t="s">
        <v>25</v>
      </c>
      <c r="G99" s="5" t="s">
        <v>2</v>
      </c>
      <c r="H99" s="8">
        <v>25.0</v>
      </c>
      <c r="I99" s="9">
        <f>detail_avancement!B99</f>
        <v>0</v>
      </c>
      <c r="J99" s="9">
        <f t="shared" si="1"/>
        <v>25</v>
      </c>
      <c r="K99" s="10">
        <f t="shared" si="2"/>
        <v>0</v>
      </c>
      <c r="L99" s="3"/>
    </row>
    <row r="100" ht="22.5" customHeight="1">
      <c r="A100" s="4">
        <v>99.0</v>
      </c>
      <c r="B100" s="5" t="s">
        <v>235</v>
      </c>
      <c r="C100" s="6" t="s">
        <v>236</v>
      </c>
      <c r="D100" s="6" t="s">
        <v>237</v>
      </c>
      <c r="E100" s="7" t="s">
        <v>238</v>
      </c>
      <c r="F100" s="5" t="s">
        <v>27</v>
      </c>
      <c r="G100" s="5" t="s">
        <v>4</v>
      </c>
      <c r="H100" s="8">
        <v>25.0</v>
      </c>
      <c r="I100" s="9">
        <f>detail_avancement!B100</f>
        <v>0</v>
      </c>
      <c r="J100" s="9">
        <f t="shared" si="1"/>
        <v>25</v>
      </c>
      <c r="K100" s="10">
        <f t="shared" si="2"/>
        <v>0</v>
      </c>
      <c r="L100" s="3"/>
    </row>
    <row r="101" ht="22.5" customHeight="1">
      <c r="A101" s="4">
        <v>100.0</v>
      </c>
      <c r="B101" s="5" t="s">
        <v>235</v>
      </c>
      <c r="C101" s="6" t="s">
        <v>239</v>
      </c>
      <c r="D101" s="6" t="s">
        <v>239</v>
      </c>
      <c r="E101" s="7" t="s">
        <v>240</v>
      </c>
      <c r="F101" s="5" t="s">
        <v>25</v>
      </c>
      <c r="G101" s="5" t="s">
        <v>6</v>
      </c>
      <c r="H101" s="8">
        <v>40.0</v>
      </c>
      <c r="I101" s="9">
        <f>detail_avancement!B101</f>
        <v>0</v>
      </c>
      <c r="J101" s="9">
        <f t="shared" si="1"/>
        <v>40</v>
      </c>
      <c r="K101" s="10">
        <f t="shared" si="2"/>
        <v>0</v>
      </c>
      <c r="L101" s="3"/>
    </row>
    <row r="102" ht="22.5" customHeight="1">
      <c r="A102" s="4">
        <v>101.0</v>
      </c>
      <c r="B102" s="5" t="s">
        <v>235</v>
      </c>
      <c r="C102" s="6" t="s">
        <v>236</v>
      </c>
      <c r="D102" s="6" t="s">
        <v>241</v>
      </c>
      <c r="E102" s="7" t="s">
        <v>242</v>
      </c>
      <c r="F102" s="5" t="s">
        <v>25</v>
      </c>
      <c r="G102" s="5" t="s">
        <v>0</v>
      </c>
      <c r="H102" s="8">
        <v>40.0</v>
      </c>
      <c r="I102" s="9">
        <f>detail_avancement!B102</f>
        <v>0</v>
      </c>
      <c r="J102" s="9">
        <f t="shared" si="1"/>
        <v>40</v>
      </c>
      <c r="K102" s="10">
        <f t="shared" si="2"/>
        <v>0</v>
      </c>
      <c r="L102" s="3"/>
    </row>
    <row r="103" ht="22.5" customHeight="1">
      <c r="A103" s="4">
        <v>102.0</v>
      </c>
      <c r="B103" s="5" t="s">
        <v>235</v>
      </c>
      <c r="C103" s="6" t="s">
        <v>243</v>
      </c>
      <c r="D103" s="6" t="s">
        <v>244</v>
      </c>
      <c r="E103" s="7" t="s">
        <v>245</v>
      </c>
      <c r="F103" s="5" t="s">
        <v>23</v>
      </c>
      <c r="G103" s="5" t="s">
        <v>6</v>
      </c>
      <c r="H103" s="8">
        <v>20.0</v>
      </c>
      <c r="I103" s="9">
        <f>detail_avancement!B103</f>
        <v>0</v>
      </c>
      <c r="J103" s="9">
        <f t="shared" si="1"/>
        <v>20</v>
      </c>
      <c r="K103" s="10">
        <f t="shared" si="2"/>
        <v>0</v>
      </c>
      <c r="L103" s="3"/>
    </row>
    <row r="104" ht="22.5" customHeight="1">
      <c r="A104" s="4">
        <v>103.0</v>
      </c>
      <c r="B104" s="5" t="s">
        <v>235</v>
      </c>
      <c r="C104" s="6" t="s">
        <v>243</v>
      </c>
      <c r="D104" s="6" t="s">
        <v>246</v>
      </c>
      <c r="E104" s="6" t="s">
        <v>247</v>
      </c>
      <c r="F104" s="5" t="s">
        <v>27</v>
      </c>
      <c r="G104" s="5" t="s">
        <v>4</v>
      </c>
      <c r="H104" s="8">
        <v>30.0</v>
      </c>
      <c r="I104" s="9">
        <f>detail_avancement!B104</f>
        <v>0</v>
      </c>
      <c r="J104" s="9">
        <f t="shared" si="1"/>
        <v>30</v>
      </c>
      <c r="K104" s="10">
        <f t="shared" si="2"/>
        <v>0</v>
      </c>
      <c r="L104" s="3"/>
    </row>
    <row r="105" ht="22.5" customHeight="1">
      <c r="A105" s="4">
        <v>104.0</v>
      </c>
      <c r="B105" s="5" t="s">
        <v>235</v>
      </c>
      <c r="C105" s="6" t="s">
        <v>243</v>
      </c>
      <c r="D105" s="6" t="s">
        <v>248</v>
      </c>
      <c r="E105" s="7" t="s">
        <v>249</v>
      </c>
      <c r="F105" s="5" t="s">
        <v>27</v>
      </c>
      <c r="G105" s="5" t="s">
        <v>6</v>
      </c>
      <c r="H105" s="8">
        <v>25.0</v>
      </c>
      <c r="I105" s="9">
        <f>detail_avancement!B105</f>
        <v>0</v>
      </c>
      <c r="J105" s="9">
        <f t="shared" si="1"/>
        <v>25</v>
      </c>
      <c r="K105" s="10">
        <f t="shared" si="2"/>
        <v>0</v>
      </c>
      <c r="L105" s="3"/>
    </row>
    <row r="106" ht="22.5" customHeight="1">
      <c r="A106" s="4">
        <v>105.0</v>
      </c>
      <c r="B106" s="5" t="s">
        <v>235</v>
      </c>
      <c r="C106" s="6" t="s">
        <v>250</v>
      </c>
      <c r="D106" s="6" t="s">
        <v>251</v>
      </c>
      <c r="E106" s="7" t="s">
        <v>252</v>
      </c>
      <c r="F106" s="5" t="s">
        <v>25</v>
      </c>
      <c r="G106" s="5" t="s">
        <v>0</v>
      </c>
      <c r="H106" s="8">
        <v>40.0</v>
      </c>
      <c r="I106" s="9">
        <f>detail_avancement!B106</f>
        <v>0</v>
      </c>
      <c r="J106" s="9">
        <f t="shared" si="1"/>
        <v>40</v>
      </c>
      <c r="K106" s="10">
        <f t="shared" si="2"/>
        <v>0</v>
      </c>
      <c r="L106" s="3"/>
    </row>
    <row r="107" ht="22.5" customHeight="1">
      <c r="A107" s="4">
        <v>106.0</v>
      </c>
      <c r="B107" s="5" t="s">
        <v>235</v>
      </c>
      <c r="C107" s="6" t="s">
        <v>250</v>
      </c>
      <c r="D107" s="6" t="s">
        <v>253</v>
      </c>
      <c r="E107" s="7" t="s">
        <v>254</v>
      </c>
      <c r="F107" s="5" t="s">
        <v>27</v>
      </c>
      <c r="G107" s="5" t="s">
        <v>2</v>
      </c>
      <c r="H107" s="8">
        <v>40.0</v>
      </c>
      <c r="I107" s="9">
        <f>detail_avancement!B107</f>
        <v>0</v>
      </c>
      <c r="J107" s="9">
        <f t="shared" si="1"/>
        <v>40</v>
      </c>
      <c r="K107" s="10">
        <f t="shared" si="2"/>
        <v>0</v>
      </c>
      <c r="L107" s="3"/>
    </row>
    <row r="108" ht="22.5" customHeight="1">
      <c r="A108" s="4">
        <v>107.0</v>
      </c>
      <c r="B108" s="5" t="s">
        <v>235</v>
      </c>
      <c r="C108" s="6" t="s">
        <v>255</v>
      </c>
      <c r="D108" s="6" t="s">
        <v>256</v>
      </c>
      <c r="E108" s="7" t="s">
        <v>257</v>
      </c>
      <c r="F108" s="5" t="s">
        <v>23</v>
      </c>
      <c r="G108" s="5" t="s">
        <v>6</v>
      </c>
      <c r="H108" s="8">
        <v>30.0</v>
      </c>
      <c r="I108" s="9">
        <f>detail_avancement!B108</f>
        <v>0</v>
      </c>
      <c r="J108" s="9">
        <f t="shared" si="1"/>
        <v>30</v>
      </c>
      <c r="K108" s="10">
        <f t="shared" si="2"/>
        <v>0</v>
      </c>
      <c r="L108" s="3"/>
    </row>
    <row r="109" ht="22.5" customHeight="1">
      <c r="A109" s="4">
        <v>108.0</v>
      </c>
      <c r="B109" s="5" t="s">
        <v>235</v>
      </c>
      <c r="C109" s="6" t="s">
        <v>255</v>
      </c>
      <c r="D109" s="6" t="s">
        <v>204</v>
      </c>
      <c r="E109" s="7" t="s">
        <v>258</v>
      </c>
      <c r="F109" s="5" t="s">
        <v>25</v>
      </c>
      <c r="G109" s="5" t="s">
        <v>4</v>
      </c>
      <c r="H109" s="8">
        <v>25.0</v>
      </c>
      <c r="I109" s="9">
        <f>detail_avancement!B109</f>
        <v>0</v>
      </c>
      <c r="J109" s="9">
        <f t="shared" si="1"/>
        <v>25</v>
      </c>
      <c r="K109" s="10">
        <f t="shared" si="2"/>
        <v>0</v>
      </c>
      <c r="L109" s="3"/>
    </row>
    <row r="110" ht="22.5" customHeight="1">
      <c r="A110" s="4">
        <v>109.0</v>
      </c>
      <c r="B110" s="5" t="s">
        <v>235</v>
      </c>
      <c r="C110" s="6" t="s">
        <v>255</v>
      </c>
      <c r="D110" s="6" t="s">
        <v>259</v>
      </c>
      <c r="E110" s="7" t="s">
        <v>260</v>
      </c>
      <c r="F110" s="5" t="s">
        <v>25</v>
      </c>
      <c r="G110" s="5" t="s">
        <v>0</v>
      </c>
      <c r="H110" s="8">
        <v>25.0</v>
      </c>
      <c r="I110" s="9">
        <f>detail_avancement!B110</f>
        <v>0</v>
      </c>
      <c r="J110" s="9">
        <f t="shared" si="1"/>
        <v>25</v>
      </c>
      <c r="K110" s="10">
        <f t="shared" si="2"/>
        <v>0</v>
      </c>
      <c r="L110" s="3"/>
    </row>
    <row r="111" ht="22.5" customHeight="1">
      <c r="A111" s="4">
        <v>110.0</v>
      </c>
      <c r="B111" s="5" t="s">
        <v>235</v>
      </c>
      <c r="C111" s="6" t="s">
        <v>255</v>
      </c>
      <c r="D111" s="6" t="s">
        <v>261</v>
      </c>
      <c r="E111" s="7" t="s">
        <v>262</v>
      </c>
      <c r="F111" s="5" t="s">
        <v>25</v>
      </c>
      <c r="G111" s="5" t="s">
        <v>2</v>
      </c>
      <c r="H111" s="8">
        <v>25.0</v>
      </c>
      <c r="I111" s="9">
        <f>detail_avancement!B111</f>
        <v>0</v>
      </c>
      <c r="J111" s="9">
        <f t="shared" si="1"/>
        <v>25</v>
      </c>
      <c r="K111" s="10">
        <f t="shared" si="2"/>
        <v>0</v>
      </c>
      <c r="L111" s="3"/>
    </row>
    <row r="112" ht="22.5" customHeight="1">
      <c r="A112" s="4">
        <v>111.0</v>
      </c>
      <c r="B112" s="5" t="s">
        <v>235</v>
      </c>
      <c r="C112" s="6" t="s">
        <v>255</v>
      </c>
      <c r="D112" s="6" t="s">
        <v>263</v>
      </c>
      <c r="E112" s="7" t="s">
        <v>264</v>
      </c>
      <c r="F112" s="5" t="s">
        <v>27</v>
      </c>
      <c r="G112" s="5" t="s">
        <v>4</v>
      </c>
      <c r="H112" s="8">
        <v>25.0</v>
      </c>
      <c r="I112" s="9">
        <f>detail_avancement!B112</f>
        <v>0</v>
      </c>
      <c r="J112" s="9">
        <f t="shared" si="1"/>
        <v>25</v>
      </c>
      <c r="K112" s="10">
        <f t="shared" si="2"/>
        <v>0</v>
      </c>
      <c r="L112" s="3"/>
    </row>
  </sheetData>
  <dataValidations>
    <dataValidation type="list" allowBlank="1" showErrorMessage="1" sqref="B2:B112">
      <formula1>"API - Auth,API - User,Logique métier,Sécurité,Back-Office,Front-Office,API,Frontoffice,Mobile"</formula1>
    </dataValidation>
    <dataValidation type="list" allowBlank="1" showErrorMessage="1" sqref="G2:G112">
      <formula1>"ETU003275,ETU003342,ETU003344,ETU003389"</formula1>
    </dataValidation>
    <dataValidation type="custom" allowBlank="1" showDropDown="1" sqref="H2:I112">
      <formula1>AND(ISNUMBER(H2),(NOT(OR(NOT(ISERROR(DATEVALUE(H2))), AND(ISNUMBER(H2), LEFT(CELL("format", H2))="D")))))</formula1>
    </dataValidation>
    <dataValidation type="list" allowBlank="1" showErrorMessage="1" sqref="F2:F112">
      <formula1>"Affichage,Métier,Intégration,Fonction,Sécurité,Swagger"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13.38"/>
  </cols>
  <sheetData>
    <row r="1" ht="22.5" customHeight="1">
      <c r="A1" s="12" t="s">
        <v>8</v>
      </c>
      <c r="B1" s="12" t="s">
        <v>265</v>
      </c>
      <c r="C1" s="13" t="s">
        <v>266</v>
      </c>
      <c r="D1" s="13" t="s">
        <v>267</v>
      </c>
      <c r="E1" s="13" t="s">
        <v>268</v>
      </c>
    </row>
    <row r="2" ht="22.5" customHeight="1">
      <c r="A2" s="14">
        <v>1.0</v>
      </c>
      <c r="B2" s="15">
        <f t="shared" ref="B2:B112" si="1">SUM(C2:E2)</f>
        <v>30</v>
      </c>
      <c r="C2" s="16">
        <v>30.0</v>
      </c>
      <c r="D2" s="17"/>
      <c r="E2" s="18"/>
    </row>
    <row r="3" ht="22.5" customHeight="1">
      <c r="A3" s="14">
        <v>2.0</v>
      </c>
      <c r="B3" s="15">
        <f t="shared" si="1"/>
        <v>30</v>
      </c>
      <c r="C3" s="16">
        <v>30.0</v>
      </c>
      <c r="D3" s="18"/>
      <c r="E3" s="18"/>
    </row>
    <row r="4" ht="22.5" customHeight="1">
      <c r="A4" s="14">
        <v>3.0</v>
      </c>
      <c r="B4" s="15">
        <f t="shared" si="1"/>
        <v>40</v>
      </c>
      <c r="C4" s="19">
        <v>40.0</v>
      </c>
      <c r="D4" s="17"/>
      <c r="E4" s="18"/>
    </row>
    <row r="5" ht="22.5" customHeight="1">
      <c r="A5" s="14">
        <v>4.0</v>
      </c>
      <c r="B5" s="15">
        <f t="shared" si="1"/>
        <v>30</v>
      </c>
      <c r="C5" s="16">
        <v>30.0</v>
      </c>
      <c r="D5" s="18"/>
      <c r="E5" s="18"/>
    </row>
    <row r="6" ht="22.5" customHeight="1">
      <c r="A6" s="14">
        <v>5.0</v>
      </c>
      <c r="B6" s="15">
        <f t="shared" si="1"/>
        <v>30</v>
      </c>
      <c r="C6" s="16">
        <v>30.0</v>
      </c>
      <c r="D6" s="16"/>
      <c r="E6" s="18"/>
    </row>
    <row r="7" ht="22.5" customHeight="1">
      <c r="A7" s="14">
        <v>6.0</v>
      </c>
      <c r="B7" s="15">
        <f t="shared" si="1"/>
        <v>40</v>
      </c>
      <c r="C7" s="16">
        <v>40.0</v>
      </c>
      <c r="D7" s="18"/>
      <c r="E7" s="18"/>
    </row>
    <row r="8" ht="22.5" customHeight="1">
      <c r="A8" s="14">
        <v>7.0</v>
      </c>
      <c r="B8" s="15">
        <f t="shared" si="1"/>
        <v>30</v>
      </c>
      <c r="C8" s="16">
        <v>30.0</v>
      </c>
      <c r="D8" s="16"/>
      <c r="E8" s="18"/>
    </row>
    <row r="9" ht="22.5" customHeight="1">
      <c r="A9" s="14">
        <v>8.0</v>
      </c>
      <c r="B9" s="15">
        <f t="shared" si="1"/>
        <v>30</v>
      </c>
      <c r="C9" s="16">
        <v>30.0</v>
      </c>
      <c r="D9" s="20"/>
      <c r="E9" s="20"/>
    </row>
    <row r="10" ht="22.5" customHeight="1">
      <c r="A10" s="14">
        <v>9.0</v>
      </c>
      <c r="B10" s="15">
        <f t="shared" si="1"/>
        <v>30</v>
      </c>
      <c r="C10" s="16">
        <v>30.0</v>
      </c>
      <c r="D10" s="20"/>
      <c r="E10" s="20"/>
    </row>
    <row r="11" ht="22.5" customHeight="1">
      <c r="A11" s="14">
        <v>10.0</v>
      </c>
      <c r="B11" s="15">
        <f t="shared" si="1"/>
        <v>40</v>
      </c>
      <c r="C11" s="16">
        <v>40.0</v>
      </c>
      <c r="D11" s="20"/>
      <c r="E11" s="20"/>
    </row>
    <row r="12" ht="22.5" customHeight="1">
      <c r="A12" s="14">
        <v>11.0</v>
      </c>
      <c r="B12" s="15">
        <f t="shared" si="1"/>
        <v>30</v>
      </c>
      <c r="C12" s="16">
        <v>30.0</v>
      </c>
      <c r="D12" s="20"/>
      <c r="E12" s="20"/>
    </row>
    <row r="13" ht="22.5" customHeight="1">
      <c r="A13" s="14">
        <v>12.0</v>
      </c>
      <c r="B13" s="15">
        <f t="shared" si="1"/>
        <v>30</v>
      </c>
      <c r="C13" s="16">
        <v>30.0</v>
      </c>
      <c r="D13" s="20"/>
      <c r="E13" s="20"/>
    </row>
    <row r="14" ht="22.5" customHeight="1">
      <c r="A14" s="14">
        <v>13.0</v>
      </c>
      <c r="B14" s="15">
        <f t="shared" si="1"/>
        <v>30</v>
      </c>
      <c r="C14" s="16">
        <v>30.0</v>
      </c>
      <c r="D14" s="20"/>
      <c r="E14" s="20"/>
    </row>
    <row r="15" ht="22.5" customHeight="1">
      <c r="A15" s="14">
        <v>14.0</v>
      </c>
      <c r="B15" s="15">
        <f t="shared" si="1"/>
        <v>25</v>
      </c>
      <c r="C15" s="16">
        <v>25.0</v>
      </c>
      <c r="D15" s="20"/>
      <c r="E15" s="20"/>
    </row>
    <row r="16" ht="22.5" customHeight="1">
      <c r="A16" s="14">
        <v>15.0</v>
      </c>
      <c r="B16" s="15">
        <f t="shared" si="1"/>
        <v>25</v>
      </c>
      <c r="C16" s="16">
        <v>25.0</v>
      </c>
      <c r="D16" s="20"/>
      <c r="E16" s="20"/>
    </row>
    <row r="17" ht="22.5" customHeight="1">
      <c r="A17" s="14">
        <v>16.0</v>
      </c>
      <c r="B17" s="15">
        <f t="shared" si="1"/>
        <v>40</v>
      </c>
      <c r="C17" s="16">
        <v>40.0</v>
      </c>
      <c r="D17" s="20"/>
      <c r="E17" s="20"/>
    </row>
    <row r="18" ht="22.5" customHeight="1">
      <c r="A18" s="14">
        <v>17.0</v>
      </c>
      <c r="B18" s="15">
        <f t="shared" si="1"/>
        <v>35</v>
      </c>
      <c r="C18" s="16">
        <v>35.0</v>
      </c>
      <c r="D18" s="20"/>
      <c r="E18" s="20"/>
    </row>
    <row r="19" ht="22.5" customHeight="1">
      <c r="A19" s="14">
        <v>18.0</v>
      </c>
      <c r="B19" s="15">
        <f t="shared" si="1"/>
        <v>0</v>
      </c>
      <c r="C19" s="16">
        <v>0.0</v>
      </c>
      <c r="D19" s="20"/>
      <c r="E19" s="20"/>
    </row>
    <row r="20" ht="22.5" customHeight="1">
      <c r="A20" s="14">
        <v>19.0</v>
      </c>
      <c r="B20" s="15">
        <f t="shared" si="1"/>
        <v>0</v>
      </c>
      <c r="C20" s="16">
        <v>0.0</v>
      </c>
      <c r="D20" s="20"/>
      <c r="E20" s="20"/>
    </row>
    <row r="21" ht="22.5" customHeight="1">
      <c r="A21" s="14">
        <v>20.0</v>
      </c>
      <c r="B21" s="15">
        <f t="shared" si="1"/>
        <v>0</v>
      </c>
      <c r="C21" s="16">
        <v>0.0</v>
      </c>
      <c r="D21" s="20"/>
      <c r="E21" s="20"/>
    </row>
    <row r="22" ht="22.5" customHeight="1">
      <c r="A22" s="14">
        <v>21.0</v>
      </c>
      <c r="B22" s="15">
        <f t="shared" si="1"/>
        <v>30</v>
      </c>
      <c r="C22" s="16">
        <v>0.0</v>
      </c>
      <c r="D22" s="21">
        <v>30.0</v>
      </c>
      <c r="E22" s="20"/>
    </row>
    <row r="23" ht="22.5" customHeight="1">
      <c r="A23" s="14">
        <v>22.0</v>
      </c>
      <c r="B23" s="15">
        <f t="shared" si="1"/>
        <v>30</v>
      </c>
      <c r="C23" s="16">
        <v>0.0</v>
      </c>
      <c r="D23" s="21">
        <v>30.0</v>
      </c>
      <c r="E23" s="20"/>
    </row>
    <row r="24" ht="22.5" customHeight="1">
      <c r="A24" s="14">
        <v>23.0</v>
      </c>
      <c r="B24" s="15">
        <f t="shared" si="1"/>
        <v>0</v>
      </c>
      <c r="C24" s="16">
        <v>0.0</v>
      </c>
      <c r="D24" s="20"/>
      <c r="E24" s="20"/>
    </row>
    <row r="25" ht="22.5" customHeight="1">
      <c r="A25" s="14">
        <v>24.0</v>
      </c>
      <c r="B25" s="15">
        <f t="shared" si="1"/>
        <v>0</v>
      </c>
      <c r="C25" s="16">
        <v>0.0</v>
      </c>
      <c r="D25" s="20"/>
      <c r="E25" s="20"/>
    </row>
    <row r="26" ht="22.5" customHeight="1">
      <c r="A26" s="14">
        <v>25.0</v>
      </c>
      <c r="B26" s="15">
        <f t="shared" si="1"/>
        <v>25</v>
      </c>
      <c r="C26" s="16">
        <v>0.0</v>
      </c>
      <c r="D26" s="21">
        <v>25.0</v>
      </c>
      <c r="E26" s="20"/>
    </row>
    <row r="27" ht="22.5" customHeight="1">
      <c r="A27" s="14">
        <v>26.0</v>
      </c>
      <c r="B27" s="15">
        <f t="shared" si="1"/>
        <v>25</v>
      </c>
      <c r="C27" s="16">
        <v>0.0</v>
      </c>
      <c r="D27" s="21">
        <v>25.0</v>
      </c>
      <c r="E27" s="20"/>
    </row>
    <row r="28" ht="22.5" customHeight="1">
      <c r="A28" s="14">
        <v>27.0</v>
      </c>
      <c r="B28" s="15">
        <f t="shared" si="1"/>
        <v>0</v>
      </c>
      <c r="C28" s="16">
        <v>0.0</v>
      </c>
      <c r="D28" s="20"/>
      <c r="E28" s="20"/>
    </row>
    <row r="29" ht="22.5" customHeight="1">
      <c r="A29" s="14">
        <v>28.0</v>
      </c>
      <c r="B29" s="15">
        <f t="shared" si="1"/>
        <v>30</v>
      </c>
      <c r="C29" s="16">
        <v>0.0</v>
      </c>
      <c r="D29" s="21">
        <v>30.0</v>
      </c>
      <c r="E29" s="20"/>
    </row>
    <row r="30" ht="22.5" customHeight="1">
      <c r="A30" s="14">
        <v>29.0</v>
      </c>
      <c r="B30" s="15">
        <f t="shared" si="1"/>
        <v>0</v>
      </c>
      <c r="C30" s="16">
        <v>0.0</v>
      </c>
      <c r="D30" s="20"/>
      <c r="E30" s="20"/>
    </row>
    <row r="31" ht="22.5" customHeight="1">
      <c r="A31" s="14">
        <v>30.0</v>
      </c>
      <c r="B31" s="15">
        <f t="shared" si="1"/>
        <v>0</v>
      </c>
      <c r="C31" s="16">
        <v>0.0</v>
      </c>
      <c r="D31" s="20"/>
      <c r="E31" s="20"/>
    </row>
    <row r="32" ht="22.5" customHeight="1">
      <c r="A32" s="14">
        <v>31.0</v>
      </c>
      <c r="B32" s="15">
        <f t="shared" si="1"/>
        <v>0</v>
      </c>
      <c r="C32" s="16">
        <v>0.0</v>
      </c>
      <c r="D32" s="20"/>
      <c r="E32" s="20"/>
    </row>
    <row r="33" ht="22.5" customHeight="1">
      <c r="A33" s="14">
        <v>32.0</v>
      </c>
      <c r="B33" s="15">
        <f t="shared" si="1"/>
        <v>25</v>
      </c>
      <c r="C33" s="16">
        <v>0.0</v>
      </c>
      <c r="D33" s="21">
        <v>25.0</v>
      </c>
      <c r="E33" s="20"/>
    </row>
    <row r="34" ht="22.5" customHeight="1">
      <c r="A34" s="14">
        <v>33.0</v>
      </c>
      <c r="B34" s="15">
        <f t="shared" si="1"/>
        <v>0</v>
      </c>
      <c r="C34" s="16">
        <v>0.0</v>
      </c>
      <c r="D34" s="20"/>
      <c r="E34" s="20"/>
    </row>
    <row r="35" ht="22.5" customHeight="1">
      <c r="A35" s="14">
        <v>34.0</v>
      </c>
      <c r="B35" s="15">
        <f t="shared" si="1"/>
        <v>0</v>
      </c>
      <c r="C35" s="16">
        <v>0.0</v>
      </c>
      <c r="D35" s="20"/>
      <c r="E35" s="20"/>
    </row>
    <row r="36" ht="22.5" customHeight="1">
      <c r="A36" s="14">
        <v>35.0</v>
      </c>
      <c r="B36" s="15">
        <f t="shared" si="1"/>
        <v>0</v>
      </c>
      <c r="C36" s="16">
        <v>0.0</v>
      </c>
      <c r="D36" s="20"/>
      <c r="E36" s="20"/>
    </row>
    <row r="37" ht="22.5" customHeight="1">
      <c r="A37" s="14">
        <v>36.0</v>
      </c>
      <c r="B37" s="15">
        <f t="shared" si="1"/>
        <v>0</v>
      </c>
      <c r="C37" s="16">
        <v>0.0</v>
      </c>
      <c r="D37" s="20"/>
      <c r="E37" s="20"/>
    </row>
    <row r="38" ht="22.5" customHeight="1">
      <c r="A38" s="14">
        <v>37.0</v>
      </c>
      <c r="B38" s="15">
        <f t="shared" si="1"/>
        <v>25</v>
      </c>
      <c r="C38" s="16">
        <v>25.0</v>
      </c>
      <c r="D38" s="20"/>
      <c r="E38" s="20"/>
    </row>
    <row r="39" ht="22.5" customHeight="1">
      <c r="A39" s="14">
        <v>38.0</v>
      </c>
      <c r="B39" s="15">
        <f t="shared" si="1"/>
        <v>30</v>
      </c>
      <c r="C39" s="16">
        <v>0.0</v>
      </c>
      <c r="D39" s="21">
        <v>30.0</v>
      </c>
      <c r="E39" s="20"/>
    </row>
    <row r="40" ht="22.5" customHeight="1">
      <c r="A40" s="14">
        <v>39.0</v>
      </c>
      <c r="B40" s="15">
        <f t="shared" si="1"/>
        <v>25</v>
      </c>
      <c r="C40" s="16">
        <v>25.0</v>
      </c>
      <c r="D40" s="20"/>
      <c r="E40" s="20"/>
    </row>
    <row r="41" ht="22.5" customHeight="1">
      <c r="A41" s="14">
        <v>40.0</v>
      </c>
      <c r="B41" s="15">
        <f t="shared" si="1"/>
        <v>0</v>
      </c>
      <c r="C41" s="16">
        <v>0.0</v>
      </c>
      <c r="D41" s="20"/>
      <c r="E41" s="20"/>
    </row>
    <row r="42" ht="22.5" customHeight="1">
      <c r="A42" s="14">
        <v>41.0</v>
      </c>
      <c r="B42" s="15">
        <f t="shared" si="1"/>
        <v>0</v>
      </c>
      <c r="C42" s="16">
        <v>0.0</v>
      </c>
      <c r="D42" s="20"/>
      <c r="E42" s="20"/>
    </row>
    <row r="43" ht="22.5" customHeight="1">
      <c r="A43" s="14">
        <v>42.0</v>
      </c>
      <c r="B43" s="15">
        <f t="shared" si="1"/>
        <v>0</v>
      </c>
      <c r="C43" s="16">
        <v>0.0</v>
      </c>
      <c r="D43" s="20"/>
      <c r="E43" s="20"/>
    </row>
    <row r="44" ht="22.5" customHeight="1">
      <c r="A44" s="14">
        <v>43.0</v>
      </c>
      <c r="B44" s="15">
        <f t="shared" si="1"/>
        <v>0</v>
      </c>
      <c r="C44" s="16">
        <v>0.0</v>
      </c>
      <c r="D44" s="20"/>
      <c r="E44" s="20"/>
    </row>
    <row r="45" ht="22.5" customHeight="1">
      <c r="A45" s="14">
        <v>44.0</v>
      </c>
      <c r="B45" s="15">
        <f t="shared" si="1"/>
        <v>0</v>
      </c>
      <c r="C45" s="16">
        <v>0.0</v>
      </c>
      <c r="D45" s="20"/>
      <c r="E45" s="20"/>
    </row>
    <row r="46" ht="22.5" customHeight="1">
      <c r="A46" s="14">
        <v>45.0</v>
      </c>
      <c r="B46" s="15">
        <f t="shared" si="1"/>
        <v>0</v>
      </c>
      <c r="C46" s="16">
        <v>0.0</v>
      </c>
      <c r="D46" s="20"/>
      <c r="E46" s="20"/>
    </row>
    <row r="47" ht="22.5" customHeight="1">
      <c r="A47" s="14">
        <v>46.0</v>
      </c>
      <c r="B47" s="15">
        <f t="shared" si="1"/>
        <v>0</v>
      </c>
      <c r="C47" s="16">
        <v>0.0</v>
      </c>
      <c r="D47" s="20"/>
      <c r="E47" s="20"/>
    </row>
    <row r="48" ht="22.5" customHeight="1">
      <c r="A48" s="14">
        <v>47.0</v>
      </c>
      <c r="B48" s="15">
        <f t="shared" si="1"/>
        <v>25</v>
      </c>
      <c r="C48" s="16">
        <v>25.0</v>
      </c>
      <c r="D48" s="20"/>
      <c r="E48" s="20"/>
    </row>
    <row r="49" ht="22.5" customHeight="1">
      <c r="A49" s="14">
        <v>48.0</v>
      </c>
      <c r="B49" s="15">
        <f t="shared" si="1"/>
        <v>0</v>
      </c>
      <c r="C49" s="16">
        <v>0.0</v>
      </c>
      <c r="D49" s="20"/>
      <c r="E49" s="20"/>
    </row>
    <row r="50" ht="22.5" customHeight="1">
      <c r="A50" s="14">
        <v>49.0</v>
      </c>
      <c r="B50" s="15">
        <f t="shared" si="1"/>
        <v>0</v>
      </c>
      <c r="C50" s="16">
        <v>0.0</v>
      </c>
      <c r="D50" s="20"/>
      <c r="E50" s="20"/>
    </row>
    <row r="51" ht="22.5" customHeight="1">
      <c r="A51" s="14">
        <v>50.0</v>
      </c>
      <c r="B51" s="15">
        <f t="shared" si="1"/>
        <v>30</v>
      </c>
      <c r="C51" s="16">
        <v>0.0</v>
      </c>
      <c r="D51" s="21">
        <v>30.0</v>
      </c>
      <c r="E51" s="20"/>
    </row>
    <row r="52" ht="22.5" customHeight="1">
      <c r="A52" s="14">
        <v>51.0</v>
      </c>
      <c r="B52" s="15">
        <f t="shared" si="1"/>
        <v>30</v>
      </c>
      <c r="C52" s="16">
        <v>0.0</v>
      </c>
      <c r="D52" s="21">
        <v>30.0</v>
      </c>
      <c r="E52" s="20"/>
    </row>
    <row r="53" ht="22.5" customHeight="1">
      <c r="A53" s="14">
        <v>52.0</v>
      </c>
      <c r="B53" s="15">
        <f t="shared" si="1"/>
        <v>25</v>
      </c>
      <c r="C53" s="16">
        <v>0.0</v>
      </c>
      <c r="D53" s="21">
        <v>25.0</v>
      </c>
      <c r="E53" s="20"/>
    </row>
    <row r="54" ht="22.5" customHeight="1">
      <c r="A54" s="14">
        <v>53.0</v>
      </c>
      <c r="B54" s="15">
        <f t="shared" si="1"/>
        <v>25</v>
      </c>
      <c r="C54" s="16">
        <v>0.0</v>
      </c>
      <c r="D54" s="21">
        <v>25.0</v>
      </c>
      <c r="E54" s="20"/>
    </row>
    <row r="55" ht="22.5" customHeight="1">
      <c r="A55" s="14">
        <v>54.0</v>
      </c>
      <c r="B55" s="15">
        <f t="shared" si="1"/>
        <v>0</v>
      </c>
      <c r="C55" s="16">
        <v>0.0</v>
      </c>
      <c r="D55" s="20"/>
      <c r="E55" s="20"/>
    </row>
    <row r="56" ht="22.5" customHeight="1">
      <c r="A56" s="14">
        <v>55.0</v>
      </c>
      <c r="B56" s="15">
        <f t="shared" si="1"/>
        <v>30</v>
      </c>
      <c r="C56" s="16">
        <v>0.0</v>
      </c>
      <c r="D56" s="21">
        <v>30.0</v>
      </c>
      <c r="E56" s="20"/>
    </row>
    <row r="57" ht="22.5" customHeight="1">
      <c r="A57" s="14">
        <v>56.0</v>
      </c>
      <c r="B57" s="15">
        <f t="shared" si="1"/>
        <v>0</v>
      </c>
      <c r="C57" s="16">
        <v>0.0</v>
      </c>
      <c r="D57" s="20"/>
      <c r="E57" s="20"/>
    </row>
    <row r="58" ht="22.5" customHeight="1">
      <c r="A58" s="14">
        <v>57.0</v>
      </c>
      <c r="B58" s="15">
        <f t="shared" si="1"/>
        <v>0</v>
      </c>
      <c r="C58" s="16">
        <v>0.0</v>
      </c>
      <c r="D58" s="20"/>
      <c r="E58" s="20"/>
    </row>
    <row r="59" ht="22.5" customHeight="1">
      <c r="A59" s="14">
        <v>58.0</v>
      </c>
      <c r="B59" s="15">
        <f t="shared" si="1"/>
        <v>0</v>
      </c>
      <c r="C59" s="16">
        <v>0.0</v>
      </c>
      <c r="D59" s="20"/>
      <c r="E59" s="20"/>
    </row>
    <row r="60" ht="22.5" customHeight="1">
      <c r="A60" s="14">
        <v>59.0</v>
      </c>
      <c r="B60" s="15">
        <f t="shared" si="1"/>
        <v>0</v>
      </c>
      <c r="C60" s="16">
        <v>0.0</v>
      </c>
      <c r="D60" s="20"/>
      <c r="E60" s="20"/>
    </row>
    <row r="61" ht="22.5" customHeight="1">
      <c r="A61" s="14">
        <v>60.0</v>
      </c>
      <c r="B61" s="15">
        <f t="shared" si="1"/>
        <v>25</v>
      </c>
      <c r="C61" s="16">
        <v>0.0</v>
      </c>
      <c r="D61" s="21">
        <v>25.0</v>
      </c>
      <c r="E61" s="20"/>
    </row>
    <row r="62" ht="22.5" customHeight="1">
      <c r="A62" s="14">
        <v>61.0</v>
      </c>
      <c r="B62" s="15">
        <f t="shared" si="1"/>
        <v>25</v>
      </c>
      <c r="C62" s="16">
        <v>0.0</v>
      </c>
      <c r="D62" s="21">
        <v>25.0</v>
      </c>
      <c r="E62" s="20"/>
    </row>
    <row r="63" ht="22.5" customHeight="1">
      <c r="A63" s="14">
        <v>62.0</v>
      </c>
      <c r="B63" s="15">
        <f t="shared" si="1"/>
        <v>0</v>
      </c>
      <c r="C63" s="16">
        <v>0.0</v>
      </c>
      <c r="D63" s="20"/>
      <c r="E63" s="20"/>
    </row>
    <row r="64" ht="22.5" customHeight="1">
      <c r="A64" s="14">
        <v>63.0</v>
      </c>
      <c r="B64" s="15">
        <f t="shared" si="1"/>
        <v>0</v>
      </c>
      <c r="C64" s="16">
        <v>0.0</v>
      </c>
      <c r="D64" s="20"/>
      <c r="E64" s="20"/>
    </row>
    <row r="65" ht="22.5" customHeight="1">
      <c r="A65" s="14">
        <v>64.0</v>
      </c>
      <c r="B65" s="15">
        <f t="shared" si="1"/>
        <v>0</v>
      </c>
      <c r="C65" s="16">
        <v>0.0</v>
      </c>
      <c r="D65" s="20"/>
      <c r="E65" s="20"/>
    </row>
    <row r="66" ht="22.5" customHeight="1">
      <c r="A66" s="14">
        <v>65.0</v>
      </c>
      <c r="B66" s="15">
        <f t="shared" si="1"/>
        <v>0</v>
      </c>
      <c r="C66" s="16">
        <v>0.0</v>
      </c>
      <c r="D66" s="20"/>
      <c r="E66" s="20"/>
    </row>
    <row r="67" ht="22.5" customHeight="1">
      <c r="A67" s="14">
        <v>66.0</v>
      </c>
      <c r="B67" s="15">
        <f t="shared" si="1"/>
        <v>30</v>
      </c>
      <c r="C67" s="16">
        <v>0.0</v>
      </c>
      <c r="D67" s="21">
        <v>30.0</v>
      </c>
      <c r="E67" s="20"/>
    </row>
    <row r="68" ht="22.5" customHeight="1">
      <c r="A68" s="14">
        <v>67.0</v>
      </c>
      <c r="B68" s="15">
        <f t="shared" si="1"/>
        <v>30</v>
      </c>
      <c r="C68" s="16">
        <v>0.0</v>
      </c>
      <c r="D68" s="21">
        <v>30.0</v>
      </c>
      <c r="E68" s="20"/>
    </row>
    <row r="69" ht="22.5" customHeight="1">
      <c r="A69" s="14">
        <v>68.0</v>
      </c>
      <c r="B69" s="15">
        <f t="shared" si="1"/>
        <v>20</v>
      </c>
      <c r="C69" s="16">
        <v>0.0</v>
      </c>
      <c r="D69" s="21">
        <v>20.0</v>
      </c>
      <c r="E69" s="20"/>
    </row>
    <row r="70" ht="22.5" customHeight="1">
      <c r="A70" s="14">
        <v>69.0</v>
      </c>
      <c r="B70" s="15">
        <f t="shared" si="1"/>
        <v>40</v>
      </c>
      <c r="C70" s="16">
        <v>0.0</v>
      </c>
      <c r="D70" s="21">
        <v>40.0</v>
      </c>
      <c r="E70" s="20"/>
    </row>
    <row r="71" ht="22.5" customHeight="1">
      <c r="A71" s="14">
        <v>70.0</v>
      </c>
      <c r="B71" s="15">
        <f t="shared" si="1"/>
        <v>0</v>
      </c>
      <c r="C71" s="16">
        <v>0.0</v>
      </c>
      <c r="D71" s="20"/>
      <c r="E71" s="20"/>
    </row>
    <row r="72" ht="22.5" customHeight="1">
      <c r="A72" s="14">
        <v>71.0</v>
      </c>
      <c r="B72" s="15">
        <f t="shared" si="1"/>
        <v>25</v>
      </c>
      <c r="C72" s="16">
        <v>0.0</v>
      </c>
      <c r="D72" s="21">
        <v>25.0</v>
      </c>
      <c r="E72" s="20"/>
    </row>
    <row r="73" ht="22.5" customHeight="1">
      <c r="A73" s="14">
        <v>72.0</v>
      </c>
      <c r="B73" s="15">
        <f t="shared" si="1"/>
        <v>0</v>
      </c>
      <c r="C73" s="16">
        <v>0.0</v>
      </c>
      <c r="D73" s="20"/>
      <c r="E73" s="20"/>
    </row>
    <row r="74" ht="22.5" customHeight="1">
      <c r="A74" s="14">
        <v>73.0</v>
      </c>
      <c r="B74" s="15">
        <f t="shared" si="1"/>
        <v>0</v>
      </c>
      <c r="C74" s="16">
        <v>0.0</v>
      </c>
      <c r="D74" s="20"/>
      <c r="E74" s="20"/>
    </row>
    <row r="75" ht="22.5" customHeight="1">
      <c r="A75" s="14">
        <v>74.0</v>
      </c>
      <c r="B75" s="15">
        <f t="shared" si="1"/>
        <v>0</v>
      </c>
      <c r="C75" s="16">
        <v>0.0</v>
      </c>
      <c r="D75" s="20"/>
      <c r="E75" s="20"/>
    </row>
    <row r="76" ht="22.5" customHeight="1">
      <c r="A76" s="14">
        <v>75.0</v>
      </c>
      <c r="B76" s="15">
        <f t="shared" si="1"/>
        <v>0</v>
      </c>
      <c r="C76" s="16">
        <v>0.0</v>
      </c>
      <c r="D76" s="20"/>
      <c r="E76" s="20"/>
    </row>
    <row r="77" ht="22.5" customHeight="1">
      <c r="A77" s="14">
        <v>76.0</v>
      </c>
      <c r="B77" s="15">
        <f t="shared" si="1"/>
        <v>0</v>
      </c>
      <c r="C77" s="16">
        <v>0.0</v>
      </c>
      <c r="D77" s="20"/>
      <c r="E77" s="20"/>
    </row>
    <row r="78" ht="22.5" customHeight="1">
      <c r="A78" s="14">
        <v>77.0</v>
      </c>
      <c r="B78" s="15">
        <f t="shared" si="1"/>
        <v>0</v>
      </c>
      <c r="C78" s="16">
        <v>0.0</v>
      </c>
      <c r="D78" s="20"/>
      <c r="E78" s="20"/>
    </row>
    <row r="79" ht="22.5" customHeight="1">
      <c r="A79" s="14">
        <v>78.0</v>
      </c>
      <c r="B79" s="15">
        <f t="shared" si="1"/>
        <v>0</v>
      </c>
      <c r="C79" s="16">
        <v>0.0</v>
      </c>
      <c r="D79" s="20"/>
      <c r="E79" s="20"/>
    </row>
    <row r="80" ht="22.5" customHeight="1">
      <c r="A80" s="14">
        <v>79.0</v>
      </c>
      <c r="B80" s="15">
        <f t="shared" si="1"/>
        <v>0</v>
      </c>
      <c r="C80" s="16">
        <v>0.0</v>
      </c>
      <c r="D80" s="20"/>
      <c r="E80" s="20"/>
    </row>
    <row r="81" ht="22.5" customHeight="1">
      <c r="A81" s="14">
        <v>80.0</v>
      </c>
      <c r="B81" s="15">
        <f t="shared" si="1"/>
        <v>0</v>
      </c>
      <c r="C81" s="16">
        <v>0.0</v>
      </c>
      <c r="D81" s="20"/>
      <c r="E81" s="20"/>
    </row>
    <row r="82" ht="22.5" customHeight="1">
      <c r="A82" s="14">
        <v>81.0</v>
      </c>
      <c r="B82" s="15">
        <f t="shared" si="1"/>
        <v>0</v>
      </c>
      <c r="C82" s="16">
        <v>0.0</v>
      </c>
      <c r="D82" s="20"/>
      <c r="E82" s="20"/>
    </row>
    <row r="83" ht="22.5" customHeight="1">
      <c r="A83" s="14">
        <v>82.0</v>
      </c>
      <c r="B83" s="15">
        <f t="shared" si="1"/>
        <v>0</v>
      </c>
      <c r="C83" s="16">
        <v>0.0</v>
      </c>
      <c r="D83" s="20"/>
      <c r="E83" s="20"/>
    </row>
    <row r="84" ht="22.5" customHeight="1">
      <c r="A84" s="14">
        <v>83.0</v>
      </c>
      <c r="B84" s="15">
        <f t="shared" si="1"/>
        <v>0</v>
      </c>
      <c r="C84" s="16">
        <v>0.0</v>
      </c>
      <c r="D84" s="20"/>
      <c r="E84" s="20"/>
    </row>
    <row r="85" ht="22.5" customHeight="1">
      <c r="A85" s="14">
        <v>84.0</v>
      </c>
      <c r="B85" s="15">
        <f t="shared" si="1"/>
        <v>0</v>
      </c>
      <c r="C85" s="16">
        <v>0.0</v>
      </c>
      <c r="D85" s="20"/>
      <c r="E85" s="20"/>
    </row>
    <row r="86" ht="22.5" customHeight="1">
      <c r="A86" s="14">
        <v>85.0</v>
      </c>
      <c r="B86" s="15">
        <f t="shared" si="1"/>
        <v>0</v>
      </c>
      <c r="C86" s="16">
        <v>0.0</v>
      </c>
      <c r="D86" s="20"/>
      <c r="E86" s="20"/>
    </row>
    <row r="87" ht="22.5" customHeight="1">
      <c r="A87" s="14">
        <v>86.0</v>
      </c>
      <c r="B87" s="15">
        <f t="shared" si="1"/>
        <v>0</v>
      </c>
      <c r="C87" s="16">
        <v>0.0</v>
      </c>
      <c r="D87" s="20"/>
      <c r="E87" s="20"/>
    </row>
    <row r="88" ht="22.5" customHeight="1">
      <c r="A88" s="14">
        <v>87.0</v>
      </c>
      <c r="B88" s="15">
        <f t="shared" si="1"/>
        <v>0</v>
      </c>
      <c r="C88" s="16">
        <v>0.0</v>
      </c>
      <c r="D88" s="20"/>
      <c r="E88" s="20"/>
    </row>
    <row r="89" ht="22.5" customHeight="1">
      <c r="A89" s="14">
        <v>88.0</v>
      </c>
      <c r="B89" s="15">
        <f t="shared" si="1"/>
        <v>0</v>
      </c>
      <c r="C89" s="16">
        <v>0.0</v>
      </c>
      <c r="D89" s="20"/>
      <c r="E89" s="20"/>
    </row>
    <row r="90" ht="22.5" customHeight="1">
      <c r="A90" s="14">
        <v>89.0</v>
      </c>
      <c r="B90" s="15">
        <f t="shared" si="1"/>
        <v>0</v>
      </c>
      <c r="C90" s="16">
        <v>0.0</v>
      </c>
      <c r="D90" s="20"/>
      <c r="E90" s="20"/>
    </row>
    <row r="91" ht="22.5" customHeight="1">
      <c r="A91" s="14">
        <v>90.0</v>
      </c>
      <c r="B91" s="15">
        <f t="shared" si="1"/>
        <v>0</v>
      </c>
      <c r="C91" s="16">
        <v>0.0</v>
      </c>
      <c r="D91" s="20"/>
      <c r="E91" s="20"/>
    </row>
    <row r="92" ht="22.5" customHeight="1">
      <c r="A92" s="14">
        <v>91.0</v>
      </c>
      <c r="B92" s="15">
        <f t="shared" si="1"/>
        <v>0</v>
      </c>
      <c r="C92" s="16">
        <v>0.0</v>
      </c>
      <c r="D92" s="20"/>
      <c r="E92" s="20"/>
    </row>
    <row r="93" ht="22.5" customHeight="1">
      <c r="A93" s="14">
        <v>92.0</v>
      </c>
      <c r="B93" s="15">
        <f t="shared" si="1"/>
        <v>0</v>
      </c>
      <c r="C93" s="16">
        <v>0.0</v>
      </c>
      <c r="D93" s="20"/>
      <c r="E93" s="20"/>
    </row>
    <row r="94" ht="22.5" customHeight="1">
      <c r="A94" s="14">
        <v>93.0</v>
      </c>
      <c r="B94" s="15">
        <f t="shared" si="1"/>
        <v>0</v>
      </c>
      <c r="C94" s="16">
        <v>0.0</v>
      </c>
      <c r="D94" s="20"/>
      <c r="E94" s="20"/>
    </row>
    <row r="95" ht="22.5" customHeight="1">
      <c r="A95" s="14">
        <v>94.0</v>
      </c>
      <c r="B95" s="15">
        <f t="shared" si="1"/>
        <v>0</v>
      </c>
      <c r="C95" s="16">
        <v>0.0</v>
      </c>
      <c r="D95" s="20"/>
      <c r="E95" s="20"/>
    </row>
    <row r="96" ht="22.5" customHeight="1">
      <c r="A96" s="14">
        <v>95.0</v>
      </c>
      <c r="B96" s="15">
        <f t="shared" si="1"/>
        <v>0</v>
      </c>
      <c r="C96" s="16">
        <v>0.0</v>
      </c>
      <c r="D96" s="20"/>
      <c r="E96" s="20"/>
    </row>
    <row r="97" ht="22.5" customHeight="1">
      <c r="A97" s="14">
        <v>96.0</v>
      </c>
      <c r="B97" s="15">
        <f t="shared" si="1"/>
        <v>0</v>
      </c>
      <c r="C97" s="16">
        <v>0.0</v>
      </c>
      <c r="D97" s="20"/>
      <c r="E97" s="20"/>
    </row>
    <row r="98" ht="22.5" customHeight="1">
      <c r="A98" s="14">
        <v>97.0</v>
      </c>
      <c r="B98" s="15">
        <f t="shared" si="1"/>
        <v>0</v>
      </c>
      <c r="C98" s="16">
        <v>0.0</v>
      </c>
      <c r="D98" s="20"/>
      <c r="E98" s="20"/>
    </row>
    <row r="99" ht="22.5" customHeight="1">
      <c r="A99" s="14">
        <v>98.0</v>
      </c>
      <c r="B99" s="15">
        <f t="shared" si="1"/>
        <v>0</v>
      </c>
      <c r="C99" s="16">
        <v>0.0</v>
      </c>
      <c r="D99" s="20"/>
      <c r="E99" s="20"/>
    </row>
    <row r="100" ht="22.5" customHeight="1">
      <c r="A100" s="14">
        <v>99.0</v>
      </c>
      <c r="B100" s="15">
        <f t="shared" si="1"/>
        <v>0</v>
      </c>
      <c r="C100" s="16">
        <v>0.0</v>
      </c>
      <c r="D100" s="20"/>
      <c r="E100" s="20"/>
    </row>
    <row r="101" ht="22.5" customHeight="1">
      <c r="A101" s="14">
        <v>100.0</v>
      </c>
      <c r="B101" s="15">
        <f t="shared" si="1"/>
        <v>0</v>
      </c>
      <c r="C101" s="16">
        <v>0.0</v>
      </c>
      <c r="D101" s="20"/>
      <c r="E101" s="20"/>
    </row>
    <row r="102" ht="22.5" customHeight="1">
      <c r="A102" s="14">
        <v>101.0</v>
      </c>
      <c r="B102" s="15">
        <f t="shared" si="1"/>
        <v>0</v>
      </c>
      <c r="C102" s="16">
        <v>0.0</v>
      </c>
      <c r="D102" s="20"/>
      <c r="E102" s="20"/>
    </row>
    <row r="103" ht="22.5" customHeight="1">
      <c r="A103" s="14">
        <v>102.0</v>
      </c>
      <c r="B103" s="15">
        <f t="shared" si="1"/>
        <v>0</v>
      </c>
      <c r="C103" s="16">
        <v>0.0</v>
      </c>
      <c r="D103" s="20"/>
      <c r="E103" s="20"/>
    </row>
    <row r="104" ht="22.5" customHeight="1">
      <c r="A104" s="14">
        <v>103.0</v>
      </c>
      <c r="B104" s="15">
        <f t="shared" si="1"/>
        <v>0</v>
      </c>
      <c r="C104" s="16">
        <v>0.0</v>
      </c>
      <c r="D104" s="20"/>
      <c r="E104" s="20"/>
    </row>
    <row r="105" ht="22.5" customHeight="1">
      <c r="A105" s="14">
        <v>104.0</v>
      </c>
      <c r="B105" s="15">
        <f t="shared" si="1"/>
        <v>0</v>
      </c>
      <c r="C105" s="16">
        <v>0.0</v>
      </c>
      <c r="D105" s="20"/>
      <c r="E105" s="20"/>
    </row>
    <row r="106" ht="22.5" customHeight="1">
      <c r="A106" s="14">
        <v>105.0</v>
      </c>
      <c r="B106" s="15">
        <f t="shared" si="1"/>
        <v>0</v>
      </c>
      <c r="C106" s="16">
        <v>0.0</v>
      </c>
      <c r="D106" s="20"/>
      <c r="E106" s="20"/>
    </row>
    <row r="107" ht="22.5" customHeight="1">
      <c r="A107" s="14">
        <v>106.0</v>
      </c>
      <c r="B107" s="15">
        <f t="shared" si="1"/>
        <v>0</v>
      </c>
      <c r="C107" s="16">
        <v>0.0</v>
      </c>
      <c r="D107" s="20"/>
      <c r="E107" s="20"/>
    </row>
    <row r="108" ht="22.5" customHeight="1">
      <c r="A108" s="14">
        <v>107.0</v>
      </c>
      <c r="B108" s="15">
        <f t="shared" si="1"/>
        <v>0</v>
      </c>
      <c r="C108" s="16">
        <v>0.0</v>
      </c>
      <c r="D108" s="20"/>
      <c r="E108" s="20"/>
    </row>
    <row r="109" ht="22.5" customHeight="1">
      <c r="A109" s="14">
        <v>108.0</v>
      </c>
      <c r="B109" s="15">
        <f t="shared" si="1"/>
        <v>0</v>
      </c>
      <c r="C109" s="16">
        <v>0.0</v>
      </c>
      <c r="D109" s="20"/>
      <c r="E109" s="20"/>
    </row>
    <row r="110" ht="22.5" customHeight="1">
      <c r="A110" s="14">
        <v>109.0</v>
      </c>
      <c r="B110" s="15">
        <f t="shared" si="1"/>
        <v>0</v>
      </c>
      <c r="C110" s="16">
        <v>0.0</v>
      </c>
      <c r="D110" s="20"/>
      <c r="E110" s="20"/>
    </row>
    <row r="111" ht="22.5" customHeight="1">
      <c r="A111" s="14">
        <v>110.0</v>
      </c>
      <c r="B111" s="15">
        <f t="shared" si="1"/>
        <v>0</v>
      </c>
      <c r="C111" s="16">
        <v>0.0</v>
      </c>
      <c r="D111" s="20"/>
      <c r="E111" s="20"/>
    </row>
    <row r="112" ht="22.5" customHeight="1">
      <c r="A112" s="14">
        <v>111.0</v>
      </c>
      <c r="B112" s="15">
        <f t="shared" si="1"/>
        <v>0</v>
      </c>
      <c r="C112" s="16">
        <v>0.0</v>
      </c>
      <c r="D112" s="20"/>
      <c r="E112" s="20"/>
    </row>
  </sheetData>
  <dataValidations>
    <dataValidation type="custom" allowBlank="1" showDropDown="1" sqref="A2:B1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</cols>
  <sheetData>
    <row r="1">
      <c r="A1" s="22" t="s">
        <v>269</v>
      </c>
      <c r="B1" s="22" t="s">
        <v>270</v>
      </c>
      <c r="C1" s="22" t="s">
        <v>271</v>
      </c>
      <c r="D1" s="22" t="s">
        <v>272</v>
      </c>
      <c r="E1" s="22" t="s">
        <v>273</v>
      </c>
    </row>
    <row r="2">
      <c r="A2" s="23">
        <f>SUM('liste des taches'!H:H)</f>
        <v>3240</v>
      </c>
      <c r="B2" s="23">
        <f>SUM('liste des taches'!I:I)</f>
        <v>1150</v>
      </c>
      <c r="C2" s="23">
        <f>SUM('liste des taches'!J:J)</f>
        <v>2090</v>
      </c>
      <c r="D2" s="24">
        <f>(B2/(B2+C2))</f>
        <v>0.3549382716</v>
      </c>
      <c r="E2" s="25">
        <f>((B2+C2)-A2)/A2</f>
        <v>0</v>
      </c>
    </row>
    <row r="3">
      <c r="A3" s="26"/>
      <c r="B3" s="26"/>
      <c r="C3" s="23">
        <f>C2/60</f>
        <v>34.83333333</v>
      </c>
      <c r="D3" s="26" t="s">
        <v>274</v>
      </c>
      <c r="E3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 hidden="1"/>
    <row r="3"/>
    <row r="4"/>
    <row r="5"/>
    <row r="6"/>
    <row r="7"/>
    <row r="12">
      <c r="A12" s="29" t="s">
        <v>18</v>
      </c>
      <c r="B12" s="30">
        <f>avancement!D2</f>
        <v>0.3549382716</v>
      </c>
    </row>
  </sheetData>
  <drawing r:id="rId2"/>
</worksheet>
</file>